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tomi\Documents\Visual Studio 2015\Projects\DirectX9_ProjectEC\"/>
    </mc:Choice>
  </mc:AlternateContent>
  <bookViews>
    <workbookView xWindow="0" yWindow="0" windowWidth="28770" windowHeight="12210"/>
  </bookViews>
  <sheets>
    <sheet name="SetEnemy" sheetId="1" r:id="rId1"/>
    <sheet name="enum" sheetId="2" r:id="rId2"/>
    <sheet name="SetEnemyCSV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" i="3"/>
  <c r="J29" i="1" l="1"/>
  <c r="D29" i="1"/>
  <c r="J28" i="1"/>
  <c r="D28" i="1"/>
  <c r="J27" i="1"/>
  <c r="D27" i="1"/>
  <c r="J26" i="1"/>
  <c r="D26" i="1"/>
  <c r="J25" i="1"/>
  <c r="D25" i="1"/>
  <c r="J24" i="1"/>
  <c r="D24" i="1"/>
  <c r="J23" i="1"/>
  <c r="D23" i="1"/>
  <c r="J22" i="1" l="1"/>
  <c r="D22" i="1"/>
  <c r="J21" i="1"/>
  <c r="D21" i="1"/>
  <c r="J20" i="1"/>
  <c r="D20" i="1"/>
  <c r="J19" i="1"/>
  <c r="D19" i="1"/>
  <c r="B14" i="3" s="1"/>
  <c r="J12" i="1"/>
  <c r="D12" i="1"/>
  <c r="J11" i="1"/>
  <c r="D11" i="1"/>
  <c r="J10" i="1"/>
  <c r="G5" i="3" s="1"/>
  <c r="D10" i="1"/>
  <c r="B5" i="3" s="1"/>
  <c r="J9" i="1"/>
  <c r="G4" i="3" s="1"/>
  <c r="D9" i="1"/>
  <c r="B4" i="3" s="1"/>
  <c r="J15" i="1"/>
  <c r="D15" i="1"/>
  <c r="J14" i="1"/>
  <c r="D14" i="1"/>
  <c r="J13" i="1"/>
  <c r="G8" i="3" s="1"/>
  <c r="D13" i="1"/>
  <c r="B8" i="3" s="1"/>
  <c r="J18" i="1"/>
  <c r="G13" i="3" s="1"/>
  <c r="D18" i="1"/>
  <c r="B13" i="3" s="1"/>
  <c r="J17" i="1"/>
  <c r="D17" i="1"/>
  <c r="J16" i="1"/>
  <c r="D16" i="1"/>
  <c r="J30" i="1"/>
  <c r="D30" i="1"/>
  <c r="B25" i="3" s="1"/>
  <c r="H1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D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M6" i="1"/>
  <c r="M7" i="1"/>
  <c r="M8" i="1"/>
  <c r="M9" i="1"/>
  <c r="M10" i="1"/>
  <c r="M11" i="1"/>
  <c r="M12" i="1"/>
  <c r="I7" i="3" s="1"/>
  <c r="M13" i="1"/>
  <c r="M14" i="1"/>
  <c r="M15" i="1"/>
  <c r="I10" i="3" s="1"/>
  <c r="M16" i="1"/>
  <c r="M17" i="1"/>
  <c r="M18" i="1"/>
  <c r="I13" i="3" s="1"/>
  <c r="M30" i="1"/>
  <c r="M19" i="1"/>
  <c r="M20" i="1"/>
  <c r="M21" i="1"/>
  <c r="M22" i="1"/>
  <c r="M23" i="1"/>
  <c r="M24" i="1"/>
  <c r="M25" i="1"/>
  <c r="M26" i="1"/>
  <c r="M27" i="1"/>
  <c r="M28" i="1"/>
  <c r="M29" i="1"/>
  <c r="M31" i="1"/>
  <c r="I26" i="3" s="1"/>
  <c r="M32" i="1"/>
  <c r="I27" i="3" s="1"/>
  <c r="M33" i="1"/>
  <c r="I28" i="3" s="1"/>
  <c r="M34" i="1"/>
  <c r="I29" i="3" s="1"/>
  <c r="M35" i="1"/>
  <c r="I30" i="3" s="1"/>
  <c r="M36" i="1"/>
  <c r="I31" i="3" s="1"/>
  <c r="M37" i="1"/>
  <c r="I32" i="3" s="1"/>
  <c r="M38" i="1"/>
  <c r="I33" i="3" s="1"/>
  <c r="M39" i="1"/>
  <c r="I34" i="3" s="1"/>
  <c r="M40" i="1"/>
  <c r="I35" i="3" s="1"/>
  <c r="M41" i="1"/>
  <c r="I36" i="3" s="1"/>
  <c r="M42" i="1"/>
  <c r="I37" i="3" s="1"/>
  <c r="M43" i="1"/>
  <c r="I38" i="3" s="1"/>
  <c r="M44" i="1"/>
  <c r="I39" i="3" s="1"/>
  <c r="M45" i="1"/>
  <c r="I40" i="3" s="1"/>
  <c r="M46" i="1"/>
  <c r="I41" i="3" s="1"/>
  <c r="M47" i="1"/>
  <c r="I42" i="3" s="1"/>
  <c r="M48" i="1"/>
  <c r="I43" i="3" s="1"/>
  <c r="M49" i="1"/>
  <c r="I44" i="3" s="1"/>
  <c r="M50" i="1"/>
  <c r="I45" i="3" s="1"/>
  <c r="M51" i="1"/>
  <c r="I46" i="3" s="1"/>
  <c r="M52" i="1"/>
  <c r="I47" i="3" s="1"/>
  <c r="M53" i="1"/>
  <c r="I48" i="3" s="1"/>
  <c r="M54" i="1"/>
  <c r="I49" i="3" s="1"/>
  <c r="M55" i="1"/>
  <c r="I50" i="3" s="1"/>
  <c r="M56" i="1"/>
  <c r="I51" i="3" s="1"/>
  <c r="M57" i="1"/>
  <c r="I52" i="3" s="1"/>
  <c r="M58" i="1"/>
  <c r="I53" i="3" s="1"/>
  <c r="M59" i="1"/>
  <c r="I54" i="3" s="1"/>
  <c r="M60" i="1"/>
  <c r="I55" i="3" s="1"/>
  <c r="M61" i="1"/>
  <c r="I56" i="3" s="1"/>
  <c r="M62" i="1"/>
  <c r="I57" i="3" s="1"/>
  <c r="M63" i="1"/>
  <c r="I58" i="3" s="1"/>
  <c r="M64" i="1"/>
  <c r="I59" i="3" s="1"/>
  <c r="M65" i="1"/>
  <c r="I60" i="3" s="1"/>
  <c r="M66" i="1"/>
  <c r="I61" i="3" s="1"/>
  <c r="M67" i="1"/>
  <c r="I62" i="3" s="1"/>
  <c r="M68" i="1"/>
  <c r="I63" i="3" s="1"/>
  <c r="M69" i="1"/>
  <c r="I64" i="3" s="1"/>
  <c r="M70" i="1"/>
  <c r="I65" i="3" s="1"/>
  <c r="M71" i="1"/>
  <c r="I66" i="3" s="1"/>
  <c r="M72" i="1"/>
  <c r="I67" i="3" s="1"/>
  <c r="M73" i="1"/>
  <c r="I68" i="3" s="1"/>
  <c r="M74" i="1"/>
  <c r="I69" i="3" s="1"/>
  <c r="M75" i="1"/>
  <c r="I70" i="3" s="1"/>
  <c r="M76" i="1"/>
  <c r="I71" i="3" s="1"/>
  <c r="M77" i="1"/>
  <c r="I72" i="3" s="1"/>
  <c r="M78" i="1"/>
  <c r="I73" i="3" s="1"/>
  <c r="M79" i="1"/>
  <c r="I74" i="3" s="1"/>
  <c r="M80" i="1"/>
  <c r="I75" i="3" s="1"/>
  <c r="M81" i="1"/>
  <c r="I76" i="3" s="1"/>
  <c r="M82" i="1"/>
  <c r="I77" i="3" s="1"/>
  <c r="M83" i="1"/>
  <c r="I78" i="3" s="1"/>
  <c r="M84" i="1"/>
  <c r="I79" i="3" s="1"/>
  <c r="M85" i="1"/>
  <c r="I80" i="3" s="1"/>
  <c r="M86" i="1"/>
  <c r="I81" i="3" s="1"/>
  <c r="M87" i="1"/>
  <c r="I82" i="3" s="1"/>
  <c r="M88" i="1"/>
  <c r="I83" i="3" s="1"/>
  <c r="M89" i="1"/>
  <c r="I84" i="3" s="1"/>
  <c r="M90" i="1"/>
  <c r="I85" i="3" s="1"/>
  <c r="M91" i="1"/>
  <c r="I86" i="3" s="1"/>
  <c r="M92" i="1"/>
  <c r="I87" i="3" s="1"/>
  <c r="M93" i="1"/>
  <c r="I88" i="3" s="1"/>
  <c r="M94" i="1"/>
  <c r="I89" i="3" s="1"/>
  <c r="M95" i="1"/>
  <c r="I90" i="3" s="1"/>
  <c r="M96" i="1"/>
  <c r="I91" i="3" s="1"/>
  <c r="M97" i="1"/>
  <c r="I92" i="3" s="1"/>
  <c r="M98" i="1"/>
  <c r="I93" i="3" s="1"/>
  <c r="M99" i="1"/>
  <c r="I94" i="3" s="1"/>
  <c r="M100" i="1"/>
  <c r="I95" i="3" s="1"/>
  <c r="M101" i="1"/>
  <c r="I96" i="3" s="1"/>
  <c r="M102" i="1"/>
  <c r="I97" i="3" s="1"/>
  <c r="M103" i="1"/>
  <c r="I98" i="3" s="1"/>
  <c r="M104" i="1"/>
  <c r="I99" i="3" s="1"/>
  <c r="J6" i="1"/>
  <c r="G1" i="3" s="1"/>
  <c r="D7" i="1"/>
  <c r="B2" i="3" s="1"/>
  <c r="E1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C1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A1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J7" i="1"/>
  <c r="G2" i="3" s="1"/>
  <c r="J8" i="1"/>
  <c r="G3" i="3" s="1"/>
  <c r="G6" i="3"/>
  <c r="G7" i="3"/>
  <c r="G9" i="3"/>
  <c r="G10" i="3"/>
  <c r="G11" i="3"/>
  <c r="G12" i="3"/>
  <c r="G16" i="3"/>
  <c r="G17" i="3"/>
  <c r="G19" i="3"/>
  <c r="G20" i="3"/>
  <c r="G21" i="3"/>
  <c r="G22" i="3"/>
  <c r="G23" i="3"/>
  <c r="G24" i="3"/>
  <c r="G25" i="3"/>
  <c r="J31" i="1"/>
  <c r="G26" i="3" s="1"/>
  <c r="J32" i="1"/>
  <c r="G27" i="3" s="1"/>
  <c r="J33" i="1"/>
  <c r="G28" i="3" s="1"/>
  <c r="J34" i="1"/>
  <c r="G29" i="3" s="1"/>
  <c r="J35" i="1"/>
  <c r="G30" i="3" s="1"/>
  <c r="J36" i="1"/>
  <c r="G31" i="3" s="1"/>
  <c r="J37" i="1"/>
  <c r="G32" i="3" s="1"/>
  <c r="J38" i="1"/>
  <c r="G33" i="3" s="1"/>
  <c r="J39" i="1"/>
  <c r="G34" i="3" s="1"/>
  <c r="J40" i="1"/>
  <c r="G35" i="3" s="1"/>
  <c r="J41" i="1"/>
  <c r="G36" i="3" s="1"/>
  <c r="J42" i="1"/>
  <c r="G37" i="3" s="1"/>
  <c r="J43" i="1"/>
  <c r="G38" i="3" s="1"/>
  <c r="J44" i="1"/>
  <c r="G39" i="3" s="1"/>
  <c r="J45" i="1"/>
  <c r="G40" i="3" s="1"/>
  <c r="J46" i="1"/>
  <c r="G41" i="3" s="1"/>
  <c r="J47" i="1"/>
  <c r="G42" i="3" s="1"/>
  <c r="J48" i="1"/>
  <c r="G43" i="3" s="1"/>
  <c r="J49" i="1"/>
  <c r="G44" i="3" s="1"/>
  <c r="J50" i="1"/>
  <c r="G45" i="3" s="1"/>
  <c r="J51" i="1"/>
  <c r="G46" i="3" s="1"/>
  <c r="J52" i="1"/>
  <c r="G47" i="3" s="1"/>
  <c r="J53" i="1"/>
  <c r="G48" i="3" s="1"/>
  <c r="J54" i="1"/>
  <c r="G49" i="3" s="1"/>
  <c r="J55" i="1"/>
  <c r="G50" i="3" s="1"/>
  <c r="J56" i="1"/>
  <c r="G51" i="3" s="1"/>
  <c r="J57" i="1"/>
  <c r="G52" i="3" s="1"/>
  <c r="J58" i="1"/>
  <c r="G53" i="3" s="1"/>
  <c r="J59" i="1"/>
  <c r="G54" i="3" s="1"/>
  <c r="J60" i="1"/>
  <c r="G55" i="3" s="1"/>
  <c r="J61" i="1"/>
  <c r="G56" i="3" s="1"/>
  <c r="J62" i="1"/>
  <c r="G57" i="3" s="1"/>
  <c r="J63" i="1"/>
  <c r="G58" i="3" s="1"/>
  <c r="J64" i="1"/>
  <c r="G59" i="3" s="1"/>
  <c r="J65" i="1"/>
  <c r="G60" i="3" s="1"/>
  <c r="J66" i="1"/>
  <c r="G61" i="3" s="1"/>
  <c r="J67" i="1"/>
  <c r="G62" i="3" s="1"/>
  <c r="J68" i="1"/>
  <c r="G63" i="3" s="1"/>
  <c r="J69" i="1"/>
  <c r="G64" i="3" s="1"/>
  <c r="J70" i="1"/>
  <c r="G65" i="3" s="1"/>
  <c r="J71" i="1"/>
  <c r="G66" i="3" s="1"/>
  <c r="J72" i="1"/>
  <c r="G67" i="3" s="1"/>
  <c r="J73" i="1"/>
  <c r="G68" i="3" s="1"/>
  <c r="J74" i="1"/>
  <c r="G69" i="3" s="1"/>
  <c r="J75" i="1"/>
  <c r="G70" i="3" s="1"/>
  <c r="J76" i="1"/>
  <c r="G71" i="3" s="1"/>
  <c r="J77" i="1"/>
  <c r="G72" i="3" s="1"/>
  <c r="J78" i="1"/>
  <c r="G73" i="3" s="1"/>
  <c r="J79" i="1"/>
  <c r="G74" i="3" s="1"/>
  <c r="J80" i="1"/>
  <c r="G75" i="3" s="1"/>
  <c r="J81" i="1"/>
  <c r="G76" i="3" s="1"/>
  <c r="J82" i="1"/>
  <c r="G77" i="3" s="1"/>
  <c r="J83" i="1"/>
  <c r="G78" i="3" s="1"/>
  <c r="J84" i="1"/>
  <c r="G79" i="3" s="1"/>
  <c r="J85" i="1"/>
  <c r="G80" i="3" s="1"/>
  <c r="J86" i="1"/>
  <c r="G81" i="3" s="1"/>
  <c r="J87" i="1"/>
  <c r="G82" i="3" s="1"/>
  <c r="J88" i="1"/>
  <c r="G83" i="3" s="1"/>
  <c r="J89" i="1"/>
  <c r="G84" i="3" s="1"/>
  <c r="J90" i="1"/>
  <c r="G85" i="3" s="1"/>
  <c r="J91" i="1"/>
  <c r="G86" i="3" s="1"/>
  <c r="J92" i="1"/>
  <c r="G87" i="3" s="1"/>
  <c r="J93" i="1"/>
  <c r="G88" i="3" s="1"/>
  <c r="J94" i="1"/>
  <c r="G89" i="3" s="1"/>
  <c r="J95" i="1"/>
  <c r="G90" i="3" s="1"/>
  <c r="J96" i="1"/>
  <c r="G91" i="3" s="1"/>
  <c r="J97" i="1"/>
  <c r="G92" i="3" s="1"/>
  <c r="J98" i="1"/>
  <c r="G93" i="3" s="1"/>
  <c r="J99" i="1"/>
  <c r="G94" i="3" s="1"/>
  <c r="J100" i="1"/>
  <c r="G95" i="3" s="1"/>
  <c r="J101" i="1"/>
  <c r="G96" i="3" s="1"/>
  <c r="J102" i="1"/>
  <c r="G97" i="3" s="1"/>
  <c r="J103" i="1"/>
  <c r="G98" i="3" s="1"/>
  <c r="J104" i="1"/>
  <c r="G99" i="3" s="1"/>
  <c r="D6" i="1"/>
  <c r="B1" i="3" s="1"/>
  <c r="D8" i="1"/>
  <c r="B3" i="3" s="1"/>
  <c r="B6" i="3"/>
  <c r="B7" i="3"/>
  <c r="B9" i="3"/>
  <c r="B10" i="3"/>
  <c r="B11" i="3"/>
  <c r="B12" i="3"/>
  <c r="B16" i="3"/>
  <c r="B17" i="3"/>
  <c r="B19" i="3"/>
  <c r="B20" i="3"/>
  <c r="B21" i="3"/>
  <c r="B22" i="3"/>
  <c r="B23" i="3"/>
  <c r="B24" i="3"/>
  <c r="D31" i="1"/>
  <c r="B26" i="3" s="1"/>
  <c r="D32" i="1"/>
  <c r="B27" i="3" s="1"/>
  <c r="D33" i="1"/>
  <c r="B28" i="3" s="1"/>
  <c r="D34" i="1"/>
  <c r="B29" i="3" s="1"/>
  <c r="D35" i="1"/>
  <c r="B30" i="3" s="1"/>
  <c r="D36" i="1"/>
  <c r="B31" i="3" s="1"/>
  <c r="D37" i="1"/>
  <c r="B32" i="3" s="1"/>
  <c r="D38" i="1"/>
  <c r="B33" i="3" s="1"/>
  <c r="D39" i="1"/>
  <c r="B34" i="3" s="1"/>
  <c r="D40" i="1"/>
  <c r="B35" i="3" s="1"/>
  <c r="D41" i="1"/>
  <c r="B36" i="3" s="1"/>
  <c r="D42" i="1"/>
  <c r="B37" i="3" s="1"/>
  <c r="D43" i="1"/>
  <c r="B38" i="3" s="1"/>
  <c r="D44" i="1"/>
  <c r="B39" i="3" s="1"/>
  <c r="D45" i="1"/>
  <c r="B40" i="3" s="1"/>
  <c r="D46" i="1"/>
  <c r="B41" i="3" s="1"/>
  <c r="D47" i="1"/>
  <c r="B42" i="3" s="1"/>
  <c r="D48" i="1"/>
  <c r="B43" i="3" s="1"/>
  <c r="D49" i="1"/>
  <c r="B44" i="3" s="1"/>
  <c r="D50" i="1"/>
  <c r="B45" i="3" s="1"/>
  <c r="D51" i="1"/>
  <c r="B46" i="3" s="1"/>
  <c r="D52" i="1"/>
  <c r="B47" i="3" s="1"/>
  <c r="D53" i="1"/>
  <c r="B48" i="3" s="1"/>
  <c r="D54" i="1"/>
  <c r="B49" i="3" s="1"/>
  <c r="D55" i="1"/>
  <c r="B50" i="3" s="1"/>
  <c r="D56" i="1"/>
  <c r="B51" i="3" s="1"/>
  <c r="D57" i="1"/>
  <c r="B52" i="3" s="1"/>
  <c r="D58" i="1"/>
  <c r="B53" i="3" s="1"/>
  <c r="D59" i="1"/>
  <c r="B54" i="3" s="1"/>
  <c r="D60" i="1"/>
  <c r="B55" i="3" s="1"/>
  <c r="D61" i="1"/>
  <c r="B56" i="3" s="1"/>
  <c r="D62" i="1"/>
  <c r="B57" i="3" s="1"/>
  <c r="D63" i="1"/>
  <c r="B58" i="3" s="1"/>
  <c r="D64" i="1"/>
  <c r="B59" i="3" s="1"/>
  <c r="D65" i="1"/>
  <c r="B60" i="3" s="1"/>
  <c r="D66" i="1"/>
  <c r="B61" i="3" s="1"/>
  <c r="D67" i="1"/>
  <c r="B62" i="3" s="1"/>
  <c r="D68" i="1"/>
  <c r="B63" i="3" s="1"/>
  <c r="D69" i="1"/>
  <c r="B64" i="3" s="1"/>
  <c r="D70" i="1"/>
  <c r="B65" i="3" s="1"/>
  <c r="D71" i="1"/>
  <c r="B66" i="3" s="1"/>
  <c r="D72" i="1"/>
  <c r="B67" i="3" s="1"/>
  <c r="D73" i="1"/>
  <c r="B68" i="3" s="1"/>
  <c r="D74" i="1"/>
  <c r="B69" i="3" s="1"/>
  <c r="D75" i="1"/>
  <c r="B70" i="3" s="1"/>
  <c r="D76" i="1"/>
  <c r="B71" i="3" s="1"/>
  <c r="D77" i="1"/>
  <c r="B72" i="3" s="1"/>
  <c r="D78" i="1"/>
  <c r="B73" i="3" s="1"/>
  <c r="D79" i="1"/>
  <c r="B74" i="3" s="1"/>
  <c r="D80" i="1"/>
  <c r="B75" i="3" s="1"/>
  <c r="D81" i="1"/>
  <c r="B76" i="3" s="1"/>
  <c r="D82" i="1"/>
  <c r="B77" i="3" s="1"/>
  <c r="D83" i="1"/>
  <c r="B78" i="3" s="1"/>
  <c r="D84" i="1"/>
  <c r="B79" i="3" s="1"/>
  <c r="D85" i="1"/>
  <c r="B80" i="3" s="1"/>
  <c r="D86" i="1"/>
  <c r="B81" i="3" s="1"/>
  <c r="D87" i="1"/>
  <c r="B82" i="3" s="1"/>
  <c r="D88" i="1"/>
  <c r="B83" i="3" s="1"/>
  <c r="D89" i="1"/>
  <c r="B84" i="3" s="1"/>
  <c r="D90" i="1"/>
  <c r="B85" i="3" s="1"/>
  <c r="D91" i="1"/>
  <c r="B86" i="3" s="1"/>
  <c r="D92" i="1"/>
  <c r="B87" i="3" s="1"/>
  <c r="D93" i="1"/>
  <c r="B88" i="3" s="1"/>
  <c r="D94" i="1"/>
  <c r="B89" i="3" s="1"/>
  <c r="D95" i="1"/>
  <c r="B90" i="3" s="1"/>
  <c r="D96" i="1"/>
  <c r="B91" i="3" s="1"/>
  <c r="D97" i="1"/>
  <c r="B92" i="3" s="1"/>
  <c r="D98" i="1"/>
  <c r="B93" i="3" s="1"/>
  <c r="D99" i="1"/>
  <c r="B94" i="3" s="1"/>
  <c r="D100" i="1"/>
  <c r="B95" i="3" s="1"/>
  <c r="D101" i="1"/>
  <c r="B96" i="3" s="1"/>
  <c r="D102" i="1"/>
  <c r="B97" i="3" s="1"/>
  <c r="D103" i="1"/>
  <c r="B98" i="3" s="1"/>
  <c r="D104" i="1"/>
  <c r="B99" i="3" s="1"/>
  <c r="I20" i="3" l="1"/>
  <c r="I18" i="3"/>
  <c r="I22" i="3"/>
  <c r="I25" i="3"/>
  <c r="I14" i="3"/>
  <c r="I21" i="3"/>
  <c r="I19" i="3"/>
  <c r="I24" i="3"/>
  <c r="I16" i="3"/>
  <c r="I23" i="3"/>
  <c r="I17" i="3"/>
  <c r="I15" i="3"/>
  <c r="I2" i="3"/>
  <c r="I5" i="3"/>
  <c r="I1" i="3"/>
  <c r="I12" i="3"/>
  <c r="I4" i="3"/>
  <c r="B15" i="3"/>
  <c r="G15" i="3"/>
  <c r="I11" i="3"/>
  <c r="G14" i="3"/>
  <c r="I9" i="3"/>
  <c r="I8" i="3"/>
  <c r="I6" i="3"/>
  <c r="B18" i="3"/>
  <c r="I3" i="3"/>
  <c r="G18" i="3"/>
</calcChain>
</file>

<file path=xl/sharedStrings.xml><?xml version="1.0" encoding="utf-8"?>
<sst xmlns="http://schemas.openxmlformats.org/spreadsheetml/2006/main" count="106" uniqueCount="31">
  <si>
    <t>引数</t>
    <rPh sb="0" eb="2">
      <t>ヒキスウ</t>
    </rPh>
    <phoneticPr fontId="1"/>
  </si>
  <si>
    <t>Wave</t>
    <phoneticPr fontId="1"/>
  </si>
  <si>
    <t>NORMAL</t>
  </si>
  <si>
    <t>NORMAL</t>
    <phoneticPr fontId="1"/>
  </si>
  <si>
    <t>BOSS</t>
  </si>
  <si>
    <t>BOSS</t>
    <phoneticPr fontId="1"/>
  </si>
  <si>
    <t>移動タイプ</t>
    <rPh sb="0" eb="2">
      <t>イドウ</t>
    </rPh>
    <phoneticPr fontId="1"/>
  </si>
  <si>
    <t>停止</t>
    <rPh sb="0" eb="2">
      <t>テイシ</t>
    </rPh>
    <phoneticPr fontId="1"/>
  </si>
  <si>
    <t>追尾</t>
    <rPh sb="0" eb="2">
      <t>ツイビ</t>
    </rPh>
    <phoneticPr fontId="1"/>
  </si>
  <si>
    <t>移動速度</t>
    <rPh sb="0" eb="2">
      <t>イドウ</t>
    </rPh>
    <rPh sb="2" eb="4">
      <t>ソクド</t>
    </rPh>
    <phoneticPr fontId="1"/>
  </si>
  <si>
    <t>列3</t>
  </si>
  <si>
    <t>列4</t>
  </si>
  <si>
    <t>列5</t>
  </si>
  <si>
    <t>列6</t>
  </si>
  <si>
    <t>列7</t>
  </si>
  <si>
    <t>列8</t>
  </si>
  <si>
    <t>列9</t>
  </si>
  <si>
    <t>攻撃タイプ</t>
    <rPh sb="0" eb="2">
      <t>コウゲキ</t>
    </rPh>
    <phoneticPr fontId="1"/>
  </si>
  <si>
    <t>エネミータイプ</t>
    <phoneticPr fontId="1"/>
  </si>
  <si>
    <t>直線</t>
    <rPh sb="0" eb="2">
      <t>チョクセン</t>
    </rPh>
    <phoneticPr fontId="1"/>
  </si>
  <si>
    <t>num2</t>
    <phoneticPr fontId="1"/>
  </si>
  <si>
    <t>num1</t>
    <phoneticPr fontId="1"/>
  </si>
  <si>
    <t>num3</t>
    <phoneticPr fontId="1"/>
  </si>
  <si>
    <t>直線・追尾</t>
    <rPh sb="0" eb="2">
      <t>チョクセン</t>
    </rPh>
    <rPh sb="3" eb="5">
      <t>ツイビ</t>
    </rPh>
    <phoneticPr fontId="1"/>
  </si>
  <si>
    <t>エネミー生成システム</t>
    <rPh sb="4" eb="6">
      <t>セイセイ</t>
    </rPh>
    <phoneticPr fontId="1"/>
  </si>
  <si>
    <t>座標Z</t>
    <rPh sb="0" eb="2">
      <t>ザヒョウ</t>
    </rPh>
    <phoneticPr fontId="1"/>
  </si>
  <si>
    <t>座標Y</t>
    <rPh sb="0" eb="2">
      <t>ザヒョウ</t>
    </rPh>
    <phoneticPr fontId="1"/>
  </si>
  <si>
    <t>座標X</t>
    <rPh sb="0" eb="2">
      <t>ザヒョウ</t>
    </rPh>
    <phoneticPr fontId="1"/>
  </si>
  <si>
    <t>移動</t>
    <rPh sb="0" eb="2">
      <t>イドウ</t>
    </rPh>
    <phoneticPr fontId="1"/>
  </si>
  <si>
    <t>エネミータイプ</t>
    <phoneticPr fontId="1"/>
  </si>
  <si>
    <t>サイズ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</si>
</sst>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2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</cellXfs>
  <cellStyles count="1">
    <cellStyle name="標準" xfId="0" builtinId="0"/>
  </cellStyles>
  <dxfs count="23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ＭＳ Ｐゴシック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209551</xdr:colOff>
          <xdr:row>1</xdr:row>
          <xdr:rowOff>23130</xdr:rowOff>
        </xdr:from>
        <xdr:to>
          <xdr:col>11</xdr:col>
          <xdr:colOff>353786</xdr:colOff>
          <xdr:row>1</xdr:row>
          <xdr:rowOff>272143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DirectX9_ProjectEC\data\fileにCSV出力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B5:T104" totalsRowShown="0" headerRowDxfId="22" dataDxfId="11" headerRowBorderDxfId="21" tableBorderDxfId="20">
  <autoFilter ref="B5:T104"/>
  <sortState ref="B7:S105">
    <sortCondition ref="B6:B105"/>
  </sortState>
  <tableColumns count="19">
    <tableColumn id="19" name="Wave" dataDxfId="10"/>
    <tableColumn id="2" name="エネミータイプ" dataDxfId="9"/>
    <tableColumn id="3" name="num1" dataDxfId="8">
      <calculatedColumnFormula>IFERROR(VLOOKUP(C6,enum!B$4:N$30,13,FALSE),"")</calculatedColumnFormula>
    </tableColumn>
    <tableColumn id="4" name="座標X" dataDxfId="7"/>
    <tableColumn id="1" name="座標Y" dataDxfId="6"/>
    <tableColumn id="5" name="座標Z" dataDxfId="5"/>
    <tableColumn id="9" name="サイズ" dataDxfId="0"/>
    <tableColumn id="6" name="移動" dataDxfId="4"/>
    <tableColumn id="7" name="num2" dataDxfId="3">
      <calculatedColumnFormula>IFERROR(VLOOKUP(I6,enum!D$4:N$30,11,FALSE),"")</calculatedColumnFormula>
    </tableColumn>
    <tableColumn id="8" name="移動速度" dataDxfId="2"/>
    <tableColumn id="10" name="攻撃タイプ" dataDxfId="1"/>
    <tableColumn id="11" name="num3" dataDxfId="19">
      <calculatedColumnFormula>IFERROR(VLOOKUP(L6,enum!F$4:N$30,9,FALSE),"")</calculatedColumnFormula>
    </tableColumn>
    <tableColumn id="12" name="列3" dataDxfId="18"/>
    <tableColumn id="13" name="列4" dataDxfId="17"/>
    <tableColumn id="14" name="列5" dataDxfId="16"/>
    <tableColumn id="15" name="列6" dataDxfId="15"/>
    <tableColumn id="16" name="列7" dataDxfId="14"/>
    <tableColumn id="17" name="列8" dataDxfId="13">
      <calculatedColumnFormula>IFERROR(VLOOKUP(R6,enum!J$4:O$30,5,FALSE),"")</calculatedColumnFormula>
    </tableColumn>
    <tableColumn id="18" name="列9" dataDxf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04"/>
  <sheetViews>
    <sheetView tabSelected="1" zoomScale="175" zoomScaleNormal="175" workbookViewId="0">
      <pane xSplit="1" ySplit="5" topLeftCell="B6" activePane="bottomRight" state="frozen"/>
      <selection pane="topRight" activeCell="B1" sqref="B1"/>
      <selection pane="bottomLeft" activeCell="A7" sqref="A7"/>
      <selection pane="bottomRight" activeCell="E16" sqref="E16"/>
    </sheetView>
  </sheetViews>
  <sheetFormatPr defaultRowHeight="13.5" x14ac:dyDescent="0.15"/>
  <cols>
    <col min="1" max="1" width="2.375" customWidth="1"/>
    <col min="2" max="2" width="8" style="2" customWidth="1"/>
    <col min="3" max="3" width="13.75" style="2" customWidth="1"/>
    <col min="4" max="4" width="7.125" hidden="1" customWidth="1"/>
    <col min="5" max="6" width="8" style="2" customWidth="1"/>
    <col min="7" max="8" width="8" customWidth="1"/>
    <col min="9" max="9" width="8" style="2" customWidth="1"/>
    <col min="10" max="10" width="8" hidden="1" customWidth="1"/>
    <col min="11" max="11" width="8.75" style="2" customWidth="1"/>
    <col min="12" max="12" width="9.25" style="2" customWidth="1"/>
    <col min="13" max="13" width="8" hidden="1" customWidth="1"/>
    <col min="14" max="17" width="8" style="2" hidden="1" customWidth="1"/>
    <col min="18" max="18" width="8.625" style="2" hidden="1" customWidth="1"/>
    <col min="19" max="19" width="8" hidden="1" customWidth="1"/>
    <col min="20" max="20" width="8" style="2" hidden="1" customWidth="1"/>
    <col min="21" max="21" width="8.25" style="2" customWidth="1"/>
  </cols>
  <sheetData>
    <row r="1" spans="1:20" ht="14.25" thickBot="1" x14ac:dyDescent="0.2"/>
    <row r="2" spans="1:20" ht="23.25" customHeight="1" thickBot="1" x14ac:dyDescent="0.2">
      <c r="A2" s="14"/>
      <c r="B2" s="21" t="s">
        <v>24</v>
      </c>
      <c r="C2" s="22"/>
    </row>
    <row r="3" spans="1:20" x14ac:dyDescent="0.15">
      <c r="A3" s="20"/>
    </row>
    <row r="4" spans="1:20" s="2" customFormat="1" hidden="1" x14ac:dyDescent="0.15">
      <c r="B4" s="17" t="s">
        <v>0</v>
      </c>
      <c r="C4" s="18">
        <v>1</v>
      </c>
      <c r="D4" s="18"/>
      <c r="E4" s="18">
        <v>2</v>
      </c>
      <c r="F4" s="18"/>
      <c r="G4" s="18"/>
      <c r="H4" s="18"/>
      <c r="I4" s="18">
        <v>3</v>
      </c>
      <c r="J4" s="18"/>
      <c r="K4" s="18">
        <v>4</v>
      </c>
      <c r="L4" s="18">
        <v>5</v>
      </c>
      <c r="M4" s="18"/>
      <c r="N4" s="18">
        <v>6</v>
      </c>
      <c r="O4" s="18">
        <v>7</v>
      </c>
      <c r="P4" s="18">
        <v>8</v>
      </c>
      <c r="Q4" s="18">
        <v>9</v>
      </c>
      <c r="R4" s="18">
        <v>10</v>
      </c>
      <c r="S4" s="18"/>
      <c r="T4" s="19">
        <v>11</v>
      </c>
    </row>
    <row r="5" spans="1:20" s="8" customFormat="1" ht="15" customHeight="1" thickBot="1" x14ac:dyDescent="0.2">
      <c r="B5" s="9" t="s">
        <v>1</v>
      </c>
      <c r="C5" s="10" t="s">
        <v>29</v>
      </c>
      <c r="D5" s="11" t="s">
        <v>21</v>
      </c>
      <c r="E5" s="10" t="s">
        <v>27</v>
      </c>
      <c r="F5" s="10" t="s">
        <v>26</v>
      </c>
      <c r="G5" s="10" t="s">
        <v>25</v>
      </c>
      <c r="H5" s="10" t="s">
        <v>30</v>
      </c>
      <c r="I5" s="10" t="s">
        <v>28</v>
      </c>
      <c r="J5" s="11" t="s">
        <v>20</v>
      </c>
      <c r="K5" s="10" t="s">
        <v>9</v>
      </c>
      <c r="L5" s="10" t="s">
        <v>17</v>
      </c>
      <c r="M5" s="11" t="s">
        <v>22</v>
      </c>
      <c r="N5" s="10" t="s">
        <v>10</v>
      </c>
      <c r="O5" s="10" t="s">
        <v>11</v>
      </c>
      <c r="P5" s="10" t="s">
        <v>12</v>
      </c>
      <c r="Q5" s="10" t="s">
        <v>13</v>
      </c>
      <c r="R5" s="10" t="s">
        <v>14</v>
      </c>
      <c r="S5" s="11" t="s">
        <v>15</v>
      </c>
      <c r="T5" s="12" t="s">
        <v>16</v>
      </c>
    </row>
    <row r="6" spans="1:20" s="2" customFormat="1" x14ac:dyDescent="0.15">
      <c r="B6" s="23">
        <v>1</v>
      </c>
      <c r="C6" s="24" t="s">
        <v>2</v>
      </c>
      <c r="D6" s="24">
        <f>IFERROR(VLOOKUP(C6,enum!B$4:N$30,13,FALSE),"")</f>
        <v>0</v>
      </c>
      <c r="E6" s="24">
        <v>0</v>
      </c>
      <c r="F6" s="18">
        <v>500</v>
      </c>
      <c r="G6" s="24">
        <v>0</v>
      </c>
      <c r="H6" s="24">
        <v>50</v>
      </c>
      <c r="I6" s="24" t="s">
        <v>7</v>
      </c>
      <c r="J6" s="24">
        <f>IFERROR(VLOOKUP(I6,enum!D$4:N$30,11,FALSE),"")</f>
        <v>0</v>
      </c>
      <c r="K6" s="24">
        <v>0</v>
      </c>
      <c r="L6" s="25" t="s">
        <v>19</v>
      </c>
      <c r="M6" s="3">
        <f>IFERROR(VLOOKUP(L6,enum!F$4:N$30,9,FALSE),"")</f>
        <v>0</v>
      </c>
      <c r="N6" s="5"/>
      <c r="O6" s="5"/>
      <c r="P6" s="5"/>
      <c r="Q6" s="5"/>
      <c r="R6" s="5"/>
      <c r="S6" s="5"/>
      <c r="T6" s="6"/>
    </row>
    <row r="7" spans="1:20" s="2" customFormat="1" x14ac:dyDescent="0.15">
      <c r="B7" s="26">
        <v>2</v>
      </c>
      <c r="C7" s="5" t="s">
        <v>2</v>
      </c>
      <c r="D7" s="5">
        <f>IFERROR(VLOOKUP(C7,enum!B$4:N$30,13,FALSE),"")</f>
        <v>0</v>
      </c>
      <c r="E7" s="5">
        <v>500</v>
      </c>
      <c r="F7" s="4">
        <v>500</v>
      </c>
      <c r="G7" s="5">
        <v>700</v>
      </c>
      <c r="H7" s="5">
        <v>50</v>
      </c>
      <c r="I7" s="5" t="s">
        <v>7</v>
      </c>
      <c r="J7" s="5">
        <f>IFERROR(VLOOKUP(I7,enum!D$4:N$30,11,FALSE),"")</f>
        <v>0</v>
      </c>
      <c r="K7" s="5">
        <v>0</v>
      </c>
      <c r="L7" s="27" t="s">
        <v>19</v>
      </c>
      <c r="M7" s="3">
        <f>IFERROR(VLOOKUP(L7,enum!F$4:N$30,9,FALSE),"")</f>
        <v>0</v>
      </c>
      <c r="N7" s="5"/>
      <c r="O7" s="5"/>
      <c r="P7" s="5"/>
      <c r="Q7" s="5"/>
      <c r="R7" s="5"/>
      <c r="S7" s="5"/>
      <c r="T7" s="6"/>
    </row>
    <row r="8" spans="1:20" s="2" customFormat="1" x14ac:dyDescent="0.15">
      <c r="B8" s="26">
        <v>2</v>
      </c>
      <c r="C8" s="4" t="s">
        <v>2</v>
      </c>
      <c r="D8" s="4">
        <f>IFERROR(VLOOKUP(C8,enum!B$4:N$30,13,FALSE),"")</f>
        <v>0</v>
      </c>
      <c r="E8" s="4">
        <v>500</v>
      </c>
      <c r="F8" s="4">
        <v>500</v>
      </c>
      <c r="G8" s="4">
        <v>900</v>
      </c>
      <c r="H8" s="5">
        <v>50</v>
      </c>
      <c r="I8" s="5" t="s">
        <v>7</v>
      </c>
      <c r="J8" s="5">
        <f>IFERROR(VLOOKUP(I8,enum!D$4:N$30,11,FALSE),"")</f>
        <v>0</v>
      </c>
      <c r="K8" s="4">
        <v>0</v>
      </c>
      <c r="L8" s="28" t="s">
        <v>19</v>
      </c>
      <c r="M8" s="13">
        <f>IFERROR(VLOOKUP(L8,enum!F$4:N$30,9,FALSE),"")</f>
        <v>0</v>
      </c>
      <c r="N8" s="5"/>
      <c r="O8" s="5"/>
      <c r="P8" s="5"/>
      <c r="Q8" s="5"/>
      <c r="R8" s="4"/>
      <c r="S8" s="4"/>
      <c r="T8" s="7"/>
    </row>
    <row r="9" spans="1:20" s="2" customFormat="1" x14ac:dyDescent="0.15">
      <c r="B9" s="29">
        <v>2</v>
      </c>
      <c r="C9" s="5" t="s">
        <v>2</v>
      </c>
      <c r="D9" s="5">
        <f>IFERROR(VLOOKUP(C9,enum!B$4:N$30,13,FALSE),"")</f>
        <v>0</v>
      </c>
      <c r="E9" s="5">
        <v>-500</v>
      </c>
      <c r="F9" s="4">
        <v>500</v>
      </c>
      <c r="G9" s="5">
        <v>500</v>
      </c>
      <c r="H9" s="5">
        <v>50</v>
      </c>
      <c r="I9" s="5" t="s">
        <v>7</v>
      </c>
      <c r="J9" s="5">
        <f>IFERROR(VLOOKUP(I9,enum!D$4:N$30,11,FALSE),"")</f>
        <v>0</v>
      </c>
      <c r="K9" s="5">
        <v>0</v>
      </c>
      <c r="L9" s="28" t="s">
        <v>8</v>
      </c>
      <c r="M9" s="13">
        <f>IFERROR(VLOOKUP(L9,enum!F$4:N$30,9,FALSE),"")</f>
        <v>1</v>
      </c>
      <c r="N9" s="5"/>
      <c r="O9" s="5"/>
      <c r="P9" s="5"/>
      <c r="Q9" s="5"/>
      <c r="R9" s="4"/>
      <c r="S9" s="4"/>
      <c r="T9" s="7"/>
    </row>
    <row r="10" spans="1:20" s="2" customFormat="1" x14ac:dyDescent="0.15">
      <c r="B10" s="26">
        <v>3</v>
      </c>
      <c r="C10" s="5" t="s">
        <v>2</v>
      </c>
      <c r="D10" s="5">
        <f>IFERROR(VLOOKUP(C10,enum!B$4:N$30,13,FALSE),"")</f>
        <v>0</v>
      </c>
      <c r="E10" s="5">
        <v>-500</v>
      </c>
      <c r="F10" s="4">
        <v>500</v>
      </c>
      <c r="G10" s="5">
        <v>700</v>
      </c>
      <c r="H10" s="5">
        <v>50</v>
      </c>
      <c r="I10" s="5" t="s">
        <v>7</v>
      </c>
      <c r="J10" s="5">
        <f>IFERROR(VLOOKUP(I10,enum!D$4:N$30,11,FALSE),"")</f>
        <v>0</v>
      </c>
      <c r="K10" s="4">
        <v>2</v>
      </c>
      <c r="L10" s="27" t="s">
        <v>19</v>
      </c>
      <c r="M10" s="13">
        <f>IFERROR(VLOOKUP(L10,enum!F$4:N$30,9,FALSE),"")</f>
        <v>0</v>
      </c>
      <c r="N10" s="5"/>
      <c r="O10" s="5"/>
      <c r="P10" s="5"/>
      <c r="Q10" s="5"/>
      <c r="R10" s="4"/>
      <c r="S10" s="4"/>
      <c r="T10" s="7"/>
    </row>
    <row r="11" spans="1:20" s="2" customFormat="1" x14ac:dyDescent="0.15">
      <c r="B11" s="26">
        <v>3</v>
      </c>
      <c r="C11" s="4" t="s">
        <v>2</v>
      </c>
      <c r="D11" s="4">
        <f>IFERROR(VLOOKUP(C11,enum!B$4:N$30,13,FALSE),"")</f>
        <v>0</v>
      </c>
      <c r="E11" s="5">
        <v>-500</v>
      </c>
      <c r="F11" s="4">
        <v>500</v>
      </c>
      <c r="G11" s="4">
        <v>900</v>
      </c>
      <c r="H11" s="5">
        <v>50</v>
      </c>
      <c r="I11" s="5" t="s">
        <v>7</v>
      </c>
      <c r="J11" s="5">
        <f>IFERROR(VLOOKUP(I11,enum!D$4:N$30,11,FALSE),"")</f>
        <v>0</v>
      </c>
      <c r="K11" s="4">
        <v>2</v>
      </c>
      <c r="L11" s="28" t="s">
        <v>19</v>
      </c>
      <c r="M11" s="13">
        <f>IFERROR(VLOOKUP(L11,enum!F$4:N$30,9,FALSE),"")</f>
        <v>0</v>
      </c>
      <c r="N11" s="5"/>
      <c r="O11" s="5"/>
      <c r="P11" s="5"/>
      <c r="Q11" s="5"/>
      <c r="R11" s="4"/>
      <c r="S11" s="4"/>
      <c r="T11" s="7"/>
    </row>
    <row r="12" spans="1:20" s="2" customFormat="1" x14ac:dyDescent="0.15">
      <c r="B12" s="26">
        <v>3</v>
      </c>
      <c r="C12" s="4" t="s">
        <v>2</v>
      </c>
      <c r="D12" s="4">
        <f>IFERROR(VLOOKUP(C12,enum!B$4:N$30,13,FALSE),"")</f>
        <v>0</v>
      </c>
      <c r="E12" s="4">
        <v>300</v>
      </c>
      <c r="F12" s="4">
        <v>500</v>
      </c>
      <c r="G12" s="4">
        <v>600</v>
      </c>
      <c r="H12" s="5">
        <v>50</v>
      </c>
      <c r="I12" s="5" t="s">
        <v>8</v>
      </c>
      <c r="J12" s="5">
        <f>IFERROR(VLOOKUP(I12,enum!D$4:N$30,11,FALSE),"")</f>
        <v>1</v>
      </c>
      <c r="K12" s="4">
        <v>2</v>
      </c>
      <c r="L12" s="27" t="s">
        <v>8</v>
      </c>
      <c r="M12" s="13">
        <f>IFERROR(VLOOKUP(L12,enum!F$4:N$30,9,FALSE),"")</f>
        <v>1</v>
      </c>
      <c r="N12" s="5"/>
      <c r="O12" s="5"/>
      <c r="P12" s="5"/>
      <c r="Q12" s="5"/>
      <c r="R12" s="4"/>
      <c r="S12" s="4"/>
      <c r="T12" s="7"/>
    </row>
    <row r="13" spans="1:20" s="2" customFormat="1" x14ac:dyDescent="0.15">
      <c r="B13" s="26">
        <v>3</v>
      </c>
      <c r="C13" s="4" t="s">
        <v>2</v>
      </c>
      <c r="D13" s="4">
        <f>IFERROR(VLOOKUP(C13,enum!B$4:N$30,13,FALSE),"")</f>
        <v>0</v>
      </c>
      <c r="E13" s="4">
        <v>500</v>
      </c>
      <c r="F13" s="4">
        <v>500</v>
      </c>
      <c r="G13" s="4">
        <v>600</v>
      </c>
      <c r="H13" s="5">
        <v>50</v>
      </c>
      <c r="I13" s="5" t="s">
        <v>8</v>
      </c>
      <c r="J13" s="5">
        <f>IFERROR(VLOOKUP(I13,enum!D$4:N$30,11,FALSE),"")</f>
        <v>1</v>
      </c>
      <c r="K13" s="4">
        <v>2</v>
      </c>
      <c r="L13" s="27" t="s">
        <v>8</v>
      </c>
      <c r="M13" s="13">
        <f>IFERROR(VLOOKUP(L13,enum!F$4:N$30,9,FALSE),"")</f>
        <v>1</v>
      </c>
      <c r="N13" s="5"/>
      <c r="O13" s="5"/>
      <c r="P13" s="5"/>
      <c r="Q13" s="5"/>
      <c r="R13" s="4"/>
      <c r="S13" s="4"/>
      <c r="T13" s="7"/>
    </row>
    <row r="14" spans="1:20" s="2" customFormat="1" x14ac:dyDescent="0.15">
      <c r="B14" s="26">
        <v>4</v>
      </c>
      <c r="C14" s="4" t="s">
        <v>2</v>
      </c>
      <c r="D14" s="4">
        <f>IFERROR(VLOOKUP(C14,enum!B$4:N$30,13,FALSE),"")</f>
        <v>0</v>
      </c>
      <c r="E14" s="4">
        <v>700</v>
      </c>
      <c r="F14" s="4">
        <v>500</v>
      </c>
      <c r="G14" s="4">
        <v>600</v>
      </c>
      <c r="H14" s="5">
        <v>50</v>
      </c>
      <c r="I14" s="5" t="s">
        <v>8</v>
      </c>
      <c r="J14" s="5">
        <f>IFERROR(VLOOKUP(I14,enum!D$4:N$30,11,FALSE),"")</f>
        <v>1</v>
      </c>
      <c r="K14" s="4">
        <v>2</v>
      </c>
      <c r="L14" s="27" t="s">
        <v>19</v>
      </c>
      <c r="M14" s="13">
        <f>IFERROR(VLOOKUP(L14,enum!F$4:N$30,9,FALSE),"")</f>
        <v>0</v>
      </c>
      <c r="N14" s="5"/>
      <c r="O14" s="5"/>
      <c r="P14" s="5"/>
      <c r="Q14" s="5"/>
      <c r="R14" s="4"/>
      <c r="S14" s="4"/>
      <c r="T14" s="7"/>
    </row>
    <row r="15" spans="1:20" s="2" customFormat="1" x14ac:dyDescent="0.15">
      <c r="B15" s="26">
        <v>4</v>
      </c>
      <c r="C15" s="4" t="s">
        <v>2</v>
      </c>
      <c r="D15" s="4">
        <f>IFERROR(VLOOKUP(C15,enum!B$4:N$30,13,FALSE),"")</f>
        <v>0</v>
      </c>
      <c r="E15" s="4">
        <v>700</v>
      </c>
      <c r="F15" s="4">
        <v>500</v>
      </c>
      <c r="G15" s="4">
        <v>600</v>
      </c>
      <c r="H15" s="5">
        <v>50</v>
      </c>
      <c r="I15" s="5" t="s">
        <v>8</v>
      </c>
      <c r="J15" s="5">
        <f>IFERROR(VLOOKUP(I15,enum!D$4:N$30,11,FALSE),"")</f>
        <v>1</v>
      </c>
      <c r="K15" s="4">
        <v>2</v>
      </c>
      <c r="L15" s="28" t="s">
        <v>8</v>
      </c>
      <c r="M15" s="13">
        <f>IFERROR(VLOOKUP(L15,enum!F$4:N$30,9,FALSE),"")</f>
        <v>1</v>
      </c>
      <c r="N15" s="5"/>
      <c r="O15" s="5"/>
      <c r="P15" s="5"/>
      <c r="Q15" s="5"/>
      <c r="R15" s="4"/>
      <c r="S15" s="4"/>
      <c r="T15" s="7"/>
    </row>
    <row r="16" spans="1:20" s="2" customFormat="1" x14ac:dyDescent="0.15">
      <c r="B16" s="26">
        <v>4</v>
      </c>
      <c r="C16" s="4" t="s">
        <v>2</v>
      </c>
      <c r="D16" s="4">
        <f>IFERROR(VLOOKUP(C16,enum!B$4:N$30,13,FALSE),"")</f>
        <v>0</v>
      </c>
      <c r="E16" s="4">
        <v>300</v>
      </c>
      <c r="F16" s="4">
        <v>500</v>
      </c>
      <c r="G16" s="4">
        <v>-600</v>
      </c>
      <c r="H16" s="5">
        <v>50</v>
      </c>
      <c r="I16" s="5" t="s">
        <v>8</v>
      </c>
      <c r="J16" s="5">
        <f>IFERROR(VLOOKUP(I16,enum!D$4:N$30,11,FALSE),"")</f>
        <v>1</v>
      </c>
      <c r="K16" s="4">
        <v>2</v>
      </c>
      <c r="L16" s="27" t="s">
        <v>19</v>
      </c>
      <c r="M16" s="13">
        <f>IFERROR(VLOOKUP(L16,enum!F$4:N$30,9,FALSE),"")</f>
        <v>0</v>
      </c>
      <c r="N16" s="5"/>
      <c r="O16" s="5"/>
      <c r="P16" s="5"/>
      <c r="Q16" s="5"/>
      <c r="R16" s="4"/>
      <c r="S16" s="4"/>
      <c r="T16" s="7"/>
    </row>
    <row r="17" spans="2:20" s="2" customFormat="1" x14ac:dyDescent="0.15">
      <c r="B17" s="26">
        <v>4</v>
      </c>
      <c r="C17" s="4" t="s">
        <v>2</v>
      </c>
      <c r="D17" s="4">
        <f>IFERROR(VLOOKUP(C17,enum!B$4:N$30,13,FALSE),"")</f>
        <v>0</v>
      </c>
      <c r="E17" s="4">
        <v>500</v>
      </c>
      <c r="F17" s="4">
        <v>500</v>
      </c>
      <c r="G17" s="4">
        <v>-600</v>
      </c>
      <c r="H17" s="5">
        <v>50</v>
      </c>
      <c r="I17" s="5" t="s">
        <v>8</v>
      </c>
      <c r="J17" s="5">
        <f>IFERROR(VLOOKUP(I17,enum!D$4:N$30,11,FALSE),"")</f>
        <v>1</v>
      </c>
      <c r="K17" s="4">
        <v>2</v>
      </c>
      <c r="L17" s="27" t="s">
        <v>8</v>
      </c>
      <c r="M17" s="13">
        <f>IFERROR(VLOOKUP(L17,enum!F$4:N$30,9,FALSE),"")</f>
        <v>1</v>
      </c>
      <c r="N17" s="5"/>
      <c r="O17" s="5"/>
      <c r="P17" s="5"/>
      <c r="Q17" s="5"/>
      <c r="R17" s="4"/>
      <c r="S17" s="4"/>
      <c r="T17" s="7"/>
    </row>
    <row r="18" spans="2:20" s="2" customFormat="1" x14ac:dyDescent="0.15">
      <c r="B18" s="26">
        <v>5</v>
      </c>
      <c r="C18" s="4" t="s">
        <v>2</v>
      </c>
      <c r="D18" s="4">
        <f>IFERROR(VLOOKUP(C18,enum!B$4:N$30,13,FALSE),"")</f>
        <v>0</v>
      </c>
      <c r="E18" s="4">
        <v>0</v>
      </c>
      <c r="F18" s="4">
        <v>500</v>
      </c>
      <c r="G18" s="4">
        <v>900</v>
      </c>
      <c r="H18" s="5">
        <v>50</v>
      </c>
      <c r="I18" s="5" t="s">
        <v>8</v>
      </c>
      <c r="J18" s="5">
        <f>IFERROR(VLOOKUP(I18,enum!D$4:N$30,11,FALSE),"")</f>
        <v>1</v>
      </c>
      <c r="K18" s="4">
        <v>2</v>
      </c>
      <c r="L18" s="28" t="s">
        <v>8</v>
      </c>
      <c r="M18" s="13">
        <f>IFERROR(VLOOKUP(L18,enum!F$4:N$30,9,FALSE),"")</f>
        <v>1</v>
      </c>
      <c r="N18" s="4"/>
      <c r="O18" s="4"/>
      <c r="P18" s="4"/>
      <c r="Q18" s="4"/>
      <c r="R18" s="4"/>
      <c r="S18" s="4"/>
      <c r="T18" s="7"/>
    </row>
    <row r="19" spans="2:20" s="2" customFormat="1" x14ac:dyDescent="0.15">
      <c r="B19" s="26">
        <v>5</v>
      </c>
      <c r="C19" s="4" t="s">
        <v>2</v>
      </c>
      <c r="D19" s="4">
        <f>IFERROR(VLOOKUP(C19,enum!B$4:N$30,13,FALSE),"")</f>
        <v>0</v>
      </c>
      <c r="E19" s="4">
        <v>0</v>
      </c>
      <c r="F19" s="4">
        <v>500</v>
      </c>
      <c r="G19" s="4">
        <v>700</v>
      </c>
      <c r="H19" s="5">
        <v>50</v>
      </c>
      <c r="I19" s="5" t="s">
        <v>8</v>
      </c>
      <c r="J19" s="5">
        <f>IFERROR(VLOOKUP(I19,enum!D$4:N$30,11,FALSE),"")</f>
        <v>1</v>
      </c>
      <c r="K19" s="4">
        <v>2</v>
      </c>
      <c r="L19" s="28" t="s">
        <v>8</v>
      </c>
      <c r="M19" s="13">
        <f>IFERROR(VLOOKUP(L19,enum!F$4:N$30,9,FALSE),"")</f>
        <v>1</v>
      </c>
      <c r="N19" s="4"/>
      <c r="O19" s="4"/>
      <c r="P19" s="4"/>
      <c r="Q19" s="4"/>
      <c r="R19" s="4"/>
      <c r="S19" s="4"/>
      <c r="T19" s="7"/>
    </row>
    <row r="20" spans="2:20" s="2" customFormat="1" x14ac:dyDescent="0.15">
      <c r="B20" s="26">
        <v>5</v>
      </c>
      <c r="C20" s="4" t="s">
        <v>2</v>
      </c>
      <c r="D20" s="4">
        <f>IFERROR(VLOOKUP(C20,enum!B$4:N$30,13,FALSE),"")</f>
        <v>0</v>
      </c>
      <c r="E20" s="4">
        <v>0</v>
      </c>
      <c r="F20" s="4">
        <v>500</v>
      </c>
      <c r="G20" s="4">
        <v>500</v>
      </c>
      <c r="H20" s="5">
        <v>50</v>
      </c>
      <c r="I20" s="5" t="s">
        <v>8</v>
      </c>
      <c r="J20" s="5">
        <f>IFERROR(VLOOKUP(I20,enum!D$4:N$30,11,FALSE),"")</f>
        <v>1</v>
      </c>
      <c r="K20" s="4">
        <v>2</v>
      </c>
      <c r="L20" s="28" t="s">
        <v>19</v>
      </c>
      <c r="M20" s="13">
        <f>IFERROR(VLOOKUP(L20,enum!F$4:N$30,9,FALSE),"")</f>
        <v>0</v>
      </c>
      <c r="N20" s="4"/>
      <c r="O20" s="4"/>
      <c r="P20" s="4"/>
      <c r="Q20" s="4"/>
      <c r="R20" s="4"/>
      <c r="S20" s="4"/>
      <c r="T20" s="7"/>
    </row>
    <row r="21" spans="2:20" s="2" customFormat="1" x14ac:dyDescent="0.15">
      <c r="B21" s="26">
        <v>5</v>
      </c>
      <c r="C21" s="4" t="s">
        <v>2</v>
      </c>
      <c r="D21" s="4">
        <f>IFERROR(VLOOKUP(C21,enum!B$4:N$30,13,FALSE),"")</f>
        <v>0</v>
      </c>
      <c r="E21" s="4">
        <v>900</v>
      </c>
      <c r="F21" s="4">
        <v>500</v>
      </c>
      <c r="G21" s="4">
        <v>0</v>
      </c>
      <c r="H21" s="5">
        <v>50</v>
      </c>
      <c r="I21" s="5" t="s">
        <v>8</v>
      </c>
      <c r="J21" s="5">
        <f>IFERROR(VLOOKUP(I21,enum!D$4:N$30,11,FALSE),"")</f>
        <v>1</v>
      </c>
      <c r="K21" s="4">
        <v>2</v>
      </c>
      <c r="L21" s="27" t="s">
        <v>19</v>
      </c>
      <c r="M21" s="13">
        <f>IFERROR(VLOOKUP(L21,enum!F$4:N$30,9,FALSE),"")</f>
        <v>0</v>
      </c>
      <c r="N21" s="4"/>
      <c r="O21" s="4"/>
      <c r="P21" s="4"/>
      <c r="Q21" s="4"/>
      <c r="R21" s="4"/>
      <c r="S21" s="4"/>
      <c r="T21" s="7"/>
    </row>
    <row r="22" spans="2:20" s="2" customFormat="1" x14ac:dyDescent="0.15">
      <c r="B22" s="26">
        <v>5</v>
      </c>
      <c r="C22" s="4" t="s">
        <v>2</v>
      </c>
      <c r="D22" s="4">
        <f>IFERROR(VLOOKUP(C22,enum!B$4:N$30,13,FALSE),"")</f>
        <v>0</v>
      </c>
      <c r="E22" s="4">
        <v>700</v>
      </c>
      <c r="F22" s="4">
        <v>500</v>
      </c>
      <c r="G22" s="4">
        <v>0</v>
      </c>
      <c r="H22" s="5">
        <v>50</v>
      </c>
      <c r="I22" s="5" t="s">
        <v>8</v>
      </c>
      <c r="J22" s="5">
        <f>IFERROR(VLOOKUP(I22,enum!D$4:N$30,11,FALSE),"")</f>
        <v>1</v>
      </c>
      <c r="K22" s="4">
        <v>2</v>
      </c>
      <c r="L22" s="27" t="s">
        <v>8</v>
      </c>
      <c r="M22" s="13">
        <f>IFERROR(VLOOKUP(L22,enum!F$4:N$30,9,FALSE),"")</f>
        <v>1</v>
      </c>
      <c r="N22" s="4"/>
      <c r="O22" s="4"/>
      <c r="P22" s="4"/>
      <c r="Q22" s="4"/>
      <c r="R22" s="4"/>
      <c r="S22" s="4"/>
      <c r="T22" s="7"/>
    </row>
    <row r="23" spans="2:20" s="2" customFormat="1" x14ac:dyDescent="0.15">
      <c r="B23" s="26">
        <v>5</v>
      </c>
      <c r="C23" s="4" t="s">
        <v>2</v>
      </c>
      <c r="D23" s="4">
        <f>IFERROR(VLOOKUP(C23,enum!B$4:N$30,13,FALSE),"")</f>
        <v>0</v>
      </c>
      <c r="E23" s="4">
        <v>500</v>
      </c>
      <c r="F23" s="4">
        <v>500</v>
      </c>
      <c r="G23" s="4">
        <v>0</v>
      </c>
      <c r="H23" s="5">
        <v>50</v>
      </c>
      <c r="I23" s="5" t="s">
        <v>8</v>
      </c>
      <c r="J23" s="5">
        <f>IFERROR(VLOOKUP(I23,enum!D$4:N$30,11,FALSE),"")</f>
        <v>1</v>
      </c>
      <c r="K23" s="4">
        <v>2</v>
      </c>
      <c r="L23" s="28" t="s">
        <v>8</v>
      </c>
      <c r="M23" s="13">
        <f>IFERROR(VLOOKUP(L23,enum!F$4:N$30,9,FALSE),"")</f>
        <v>1</v>
      </c>
      <c r="N23" s="4"/>
      <c r="O23" s="4"/>
      <c r="P23" s="4"/>
      <c r="Q23" s="4"/>
      <c r="R23" s="4"/>
      <c r="S23" s="4"/>
      <c r="T23" s="7"/>
    </row>
    <row r="24" spans="2:20" s="2" customFormat="1" x14ac:dyDescent="0.15">
      <c r="B24" s="26">
        <v>6</v>
      </c>
      <c r="C24" s="4" t="s">
        <v>2</v>
      </c>
      <c r="D24" s="4">
        <f>IFERROR(VLOOKUP(C24,enum!B$4:N$30,13,FALSE),"")</f>
        <v>0</v>
      </c>
      <c r="E24" s="4">
        <v>0</v>
      </c>
      <c r="F24" s="4">
        <v>500</v>
      </c>
      <c r="G24" s="4">
        <v>0</v>
      </c>
      <c r="H24" s="5">
        <v>50</v>
      </c>
      <c r="I24" s="5" t="s">
        <v>8</v>
      </c>
      <c r="J24" s="5">
        <f>IFERROR(VLOOKUP(I24,enum!D$4:N$30,11,FALSE),"")</f>
        <v>1</v>
      </c>
      <c r="K24" s="4">
        <v>3</v>
      </c>
      <c r="L24" s="27" t="s">
        <v>19</v>
      </c>
      <c r="M24" s="13">
        <f>IFERROR(VLOOKUP(L24,enum!F$4:N$30,9,FALSE),"")</f>
        <v>0</v>
      </c>
      <c r="N24" s="4"/>
      <c r="O24" s="4"/>
      <c r="P24" s="4"/>
      <c r="Q24" s="4"/>
      <c r="R24" s="4"/>
      <c r="S24" s="4"/>
      <c r="T24" s="7"/>
    </row>
    <row r="25" spans="2:20" s="2" customFormat="1" x14ac:dyDescent="0.15">
      <c r="B25" s="26">
        <v>6</v>
      </c>
      <c r="C25" s="4" t="s">
        <v>2</v>
      </c>
      <c r="D25" s="4">
        <f>IFERROR(VLOOKUP(C25,enum!B$4:N$30,13,FALSE),"")</f>
        <v>0</v>
      </c>
      <c r="E25" s="4">
        <v>-300</v>
      </c>
      <c r="F25" s="4">
        <v>500</v>
      </c>
      <c r="G25" s="4">
        <v>300</v>
      </c>
      <c r="H25" s="5">
        <v>50</v>
      </c>
      <c r="I25" s="5" t="s">
        <v>8</v>
      </c>
      <c r="J25" s="5">
        <f>IFERROR(VLOOKUP(I25,enum!D$4:N$30,11,FALSE),"")</f>
        <v>1</v>
      </c>
      <c r="K25" s="4">
        <v>3</v>
      </c>
      <c r="L25" s="27" t="s">
        <v>19</v>
      </c>
      <c r="M25" s="13">
        <f>IFERROR(VLOOKUP(L25,enum!F$4:N$30,9,FALSE),"")</f>
        <v>0</v>
      </c>
      <c r="N25" s="4"/>
      <c r="O25" s="4"/>
      <c r="P25" s="4"/>
      <c r="Q25" s="4"/>
      <c r="R25" s="4"/>
      <c r="S25" s="4"/>
      <c r="T25" s="7"/>
    </row>
    <row r="26" spans="2:20" s="2" customFormat="1" x14ac:dyDescent="0.15">
      <c r="B26" s="26">
        <v>6</v>
      </c>
      <c r="C26" s="4" t="s">
        <v>2</v>
      </c>
      <c r="D26" s="4">
        <f>IFERROR(VLOOKUP(C26,enum!B$4:N$30,13,FALSE),"")</f>
        <v>0</v>
      </c>
      <c r="E26" s="4">
        <v>-300</v>
      </c>
      <c r="F26" s="4">
        <v>500</v>
      </c>
      <c r="G26" s="4">
        <v>-300</v>
      </c>
      <c r="H26" s="5">
        <v>50</v>
      </c>
      <c r="I26" s="5" t="s">
        <v>8</v>
      </c>
      <c r="J26" s="5">
        <f>IFERROR(VLOOKUP(I26,enum!D$4:N$30,11,FALSE),"")</f>
        <v>1</v>
      </c>
      <c r="K26" s="4">
        <v>3</v>
      </c>
      <c r="L26" s="27" t="s">
        <v>8</v>
      </c>
      <c r="M26" s="13">
        <f>IFERROR(VLOOKUP(L26,enum!F$4:N$30,9,FALSE),"")</f>
        <v>1</v>
      </c>
      <c r="N26" s="4"/>
      <c r="O26" s="4"/>
      <c r="P26" s="4"/>
      <c r="Q26" s="4"/>
      <c r="R26" s="4"/>
      <c r="S26" s="4"/>
      <c r="T26" s="7"/>
    </row>
    <row r="27" spans="2:20" s="2" customFormat="1" x14ac:dyDescent="0.15">
      <c r="B27" s="26">
        <v>6</v>
      </c>
      <c r="C27" s="4" t="s">
        <v>2</v>
      </c>
      <c r="D27" s="4">
        <f>IFERROR(VLOOKUP(C27,enum!B$4:N$30,13,FALSE),"")</f>
        <v>0</v>
      </c>
      <c r="E27" s="4">
        <v>300</v>
      </c>
      <c r="F27" s="4">
        <v>500</v>
      </c>
      <c r="G27" s="4">
        <v>-300</v>
      </c>
      <c r="H27" s="5">
        <v>50</v>
      </c>
      <c r="I27" s="5" t="s">
        <v>8</v>
      </c>
      <c r="J27" s="5">
        <f>IFERROR(VLOOKUP(I27,enum!D$4:N$30,11,FALSE),"")</f>
        <v>1</v>
      </c>
      <c r="K27" s="4">
        <v>3</v>
      </c>
      <c r="L27" s="27" t="s">
        <v>8</v>
      </c>
      <c r="M27" s="13">
        <f>IFERROR(VLOOKUP(L27,enum!F$4:N$30,9,FALSE),"")</f>
        <v>1</v>
      </c>
      <c r="N27" s="4"/>
      <c r="O27" s="4"/>
      <c r="P27" s="4"/>
      <c r="Q27" s="4"/>
      <c r="R27" s="4"/>
      <c r="S27" s="4"/>
      <c r="T27" s="7"/>
    </row>
    <row r="28" spans="2:20" s="2" customFormat="1" x14ac:dyDescent="0.15">
      <c r="B28" s="26">
        <v>6</v>
      </c>
      <c r="C28" s="4" t="s">
        <v>2</v>
      </c>
      <c r="D28" s="4">
        <f>IFERROR(VLOOKUP(C28,enum!B$4:N$30,13,FALSE),"")</f>
        <v>0</v>
      </c>
      <c r="E28" s="4">
        <v>300</v>
      </c>
      <c r="F28" s="4">
        <v>500</v>
      </c>
      <c r="G28" s="4">
        <v>300</v>
      </c>
      <c r="H28" s="5">
        <v>50</v>
      </c>
      <c r="I28" s="5" t="s">
        <v>8</v>
      </c>
      <c r="J28" s="5">
        <f>IFERROR(VLOOKUP(I28,enum!D$4:N$30,11,FALSE),"")</f>
        <v>1</v>
      </c>
      <c r="K28" s="4">
        <v>3</v>
      </c>
      <c r="L28" s="27" t="s">
        <v>19</v>
      </c>
      <c r="M28" s="13">
        <f>IFERROR(VLOOKUP(L28,enum!F$4:N$30,9,FALSE),"")</f>
        <v>0</v>
      </c>
      <c r="N28" s="4"/>
      <c r="O28" s="4"/>
      <c r="P28" s="4"/>
      <c r="Q28" s="4"/>
      <c r="R28" s="4"/>
      <c r="S28" s="4"/>
      <c r="T28" s="7"/>
    </row>
    <row r="29" spans="2:20" s="2" customFormat="1" x14ac:dyDescent="0.15">
      <c r="B29" s="26">
        <v>6</v>
      </c>
      <c r="C29" s="4" t="s">
        <v>2</v>
      </c>
      <c r="D29" s="4">
        <f>IFERROR(VLOOKUP(C29,enum!B$4:N$30,13,FALSE),"")</f>
        <v>0</v>
      </c>
      <c r="E29" s="4">
        <v>300</v>
      </c>
      <c r="F29" s="4">
        <v>500</v>
      </c>
      <c r="G29" s="4">
        <v>-300</v>
      </c>
      <c r="H29" s="5">
        <v>50</v>
      </c>
      <c r="I29" s="5" t="s">
        <v>8</v>
      </c>
      <c r="J29" s="5">
        <f>IFERROR(VLOOKUP(I29,enum!D$4:N$30,11,FALSE),"")</f>
        <v>1</v>
      </c>
      <c r="K29" s="4">
        <v>3</v>
      </c>
      <c r="L29" s="27" t="s">
        <v>19</v>
      </c>
      <c r="M29" s="13">
        <f>IFERROR(VLOOKUP(L29,enum!F$4:N$30,9,FALSE),"")</f>
        <v>0</v>
      </c>
      <c r="N29" s="4"/>
      <c r="O29" s="4"/>
      <c r="P29" s="4"/>
      <c r="Q29" s="4"/>
      <c r="R29" s="4"/>
      <c r="S29" s="4"/>
      <c r="T29" s="7"/>
    </row>
    <row r="30" spans="2:20" s="2" customFormat="1" x14ac:dyDescent="0.15">
      <c r="B30" s="26">
        <v>7</v>
      </c>
      <c r="C30" s="4" t="s">
        <v>4</v>
      </c>
      <c r="D30" s="4">
        <f>IFERROR(VLOOKUP(C30,enum!B$4:N$30,13,FALSE),"")</f>
        <v>1</v>
      </c>
      <c r="E30" s="4">
        <v>1000</v>
      </c>
      <c r="F30" s="4">
        <v>500</v>
      </c>
      <c r="G30" s="4">
        <v>500</v>
      </c>
      <c r="H30" s="5">
        <v>50</v>
      </c>
      <c r="I30" s="5" t="s">
        <v>8</v>
      </c>
      <c r="J30" s="5">
        <f>IFERROR(VLOOKUP(I30,enum!D$4:N$30,11,FALSE),"")</f>
        <v>1</v>
      </c>
      <c r="K30" s="4">
        <v>6</v>
      </c>
      <c r="L30" s="27" t="s">
        <v>23</v>
      </c>
      <c r="M30" s="13">
        <f>IFERROR(VLOOKUP(L30,enum!F$4:N$30,9,FALSE),"")</f>
        <v>2</v>
      </c>
      <c r="N30" s="4"/>
      <c r="O30" s="4"/>
      <c r="P30" s="4"/>
      <c r="Q30" s="4"/>
      <c r="R30" s="4"/>
      <c r="S30" s="4"/>
      <c r="T30" s="7"/>
    </row>
    <row r="31" spans="2:20" s="2" customFormat="1" x14ac:dyDescent="0.15">
      <c r="B31" s="26">
        <v>-1</v>
      </c>
      <c r="C31" s="4"/>
      <c r="D31" s="4" t="str">
        <f>IFERROR(VLOOKUP(C31,enum!B$4:N$30,13,FALSE),"")</f>
        <v/>
      </c>
      <c r="E31" s="4"/>
      <c r="F31" s="4"/>
      <c r="G31" s="4"/>
      <c r="H31" s="4"/>
      <c r="I31" s="4"/>
      <c r="J31" s="5" t="str">
        <f>IFERROR(VLOOKUP(I31,enum!D$4:N$30,11,FALSE),"")</f>
        <v/>
      </c>
      <c r="K31" s="4"/>
      <c r="L31" s="28"/>
      <c r="M31" s="13" t="str">
        <f>IFERROR(VLOOKUP(L31,enum!F$4:N$30,9,FALSE),"")</f>
        <v/>
      </c>
      <c r="N31" s="4"/>
      <c r="O31" s="4"/>
      <c r="P31" s="4"/>
      <c r="Q31" s="4"/>
      <c r="R31" s="4"/>
      <c r="S31" s="4"/>
      <c r="T31" s="7"/>
    </row>
    <row r="32" spans="2:20" s="2" customFormat="1" x14ac:dyDescent="0.15">
      <c r="B32" s="26"/>
      <c r="C32" s="4"/>
      <c r="D32" s="4" t="str">
        <f>IFERROR(VLOOKUP(C32,enum!B$4:N$30,13,FALSE),"")</f>
        <v/>
      </c>
      <c r="E32" s="4"/>
      <c r="F32" s="4"/>
      <c r="G32" s="4"/>
      <c r="H32" s="4"/>
      <c r="I32" s="4"/>
      <c r="J32" s="5" t="str">
        <f>IFERROR(VLOOKUP(I32,enum!D$4:N$30,11,FALSE),"")</f>
        <v/>
      </c>
      <c r="K32" s="4"/>
      <c r="L32" s="28"/>
      <c r="M32" s="13" t="str">
        <f>IFERROR(VLOOKUP(L32,enum!F$4:N$30,9,FALSE),"")</f>
        <v/>
      </c>
      <c r="N32" s="4"/>
      <c r="O32" s="4"/>
      <c r="P32" s="4"/>
      <c r="Q32" s="4"/>
      <c r="R32" s="4"/>
      <c r="S32" s="4"/>
      <c r="T32" s="7"/>
    </row>
    <row r="33" spans="2:20" s="2" customFormat="1" x14ac:dyDescent="0.15">
      <c r="B33" s="26"/>
      <c r="C33" s="4"/>
      <c r="D33" s="4" t="str">
        <f>IFERROR(VLOOKUP(C33,enum!B$4:N$30,13,FALSE),"")</f>
        <v/>
      </c>
      <c r="E33" s="4"/>
      <c r="F33" s="4"/>
      <c r="G33" s="4"/>
      <c r="H33" s="4"/>
      <c r="I33" s="4"/>
      <c r="J33" s="5" t="str">
        <f>IFERROR(VLOOKUP(I33,enum!D$4:N$30,11,FALSE),"")</f>
        <v/>
      </c>
      <c r="K33" s="4"/>
      <c r="L33" s="28"/>
      <c r="M33" s="13" t="str">
        <f>IFERROR(VLOOKUP(L33,enum!F$4:N$30,9,FALSE),"")</f>
        <v/>
      </c>
      <c r="N33" s="4"/>
      <c r="O33" s="4"/>
      <c r="P33" s="4"/>
      <c r="Q33" s="4"/>
      <c r="R33" s="4"/>
      <c r="S33" s="4"/>
      <c r="T33" s="7"/>
    </row>
    <row r="34" spans="2:20" s="2" customFormat="1" x14ac:dyDescent="0.15">
      <c r="B34" s="26"/>
      <c r="C34" s="4"/>
      <c r="D34" s="4" t="str">
        <f>IFERROR(VLOOKUP(C34,enum!B$4:N$30,13,FALSE),"")</f>
        <v/>
      </c>
      <c r="E34" s="4"/>
      <c r="F34" s="4"/>
      <c r="G34" s="4"/>
      <c r="H34" s="4"/>
      <c r="I34" s="4"/>
      <c r="J34" s="5" t="str">
        <f>IFERROR(VLOOKUP(I34,enum!D$4:N$30,11,FALSE),"")</f>
        <v/>
      </c>
      <c r="K34" s="4"/>
      <c r="L34" s="28"/>
      <c r="M34" s="13" t="str">
        <f>IFERROR(VLOOKUP(L34,enum!F$4:N$30,9,FALSE),"")</f>
        <v/>
      </c>
      <c r="N34" s="4"/>
      <c r="O34" s="4"/>
      <c r="P34" s="4"/>
      <c r="Q34" s="4"/>
      <c r="R34" s="4"/>
      <c r="S34" s="4"/>
      <c r="T34" s="7"/>
    </row>
    <row r="35" spans="2:20" s="2" customFormat="1" x14ac:dyDescent="0.15">
      <c r="B35" s="26"/>
      <c r="C35" s="4"/>
      <c r="D35" s="4" t="str">
        <f>IFERROR(VLOOKUP(C35,enum!B$4:N$30,13,FALSE),"")</f>
        <v/>
      </c>
      <c r="E35" s="4"/>
      <c r="F35" s="4"/>
      <c r="G35" s="4"/>
      <c r="H35" s="4"/>
      <c r="I35" s="4"/>
      <c r="J35" s="5" t="str">
        <f>IFERROR(VLOOKUP(I35,enum!D$4:N$30,11,FALSE),"")</f>
        <v/>
      </c>
      <c r="K35" s="4"/>
      <c r="L35" s="28"/>
      <c r="M35" s="13" t="str">
        <f>IFERROR(VLOOKUP(L35,enum!F$4:N$30,9,FALSE),"")</f>
        <v/>
      </c>
      <c r="N35" s="4"/>
      <c r="O35" s="4"/>
      <c r="P35" s="4"/>
      <c r="Q35" s="4"/>
      <c r="R35" s="4"/>
      <c r="S35" s="4"/>
      <c r="T35" s="7"/>
    </row>
    <row r="36" spans="2:20" s="2" customFormat="1" x14ac:dyDescent="0.15">
      <c r="B36" s="26"/>
      <c r="C36" s="4"/>
      <c r="D36" s="4" t="str">
        <f>IFERROR(VLOOKUP(C36,enum!B$4:N$30,13,FALSE),"")</f>
        <v/>
      </c>
      <c r="E36" s="4"/>
      <c r="F36" s="4"/>
      <c r="G36" s="4"/>
      <c r="H36" s="4"/>
      <c r="I36" s="4"/>
      <c r="J36" s="5" t="str">
        <f>IFERROR(VLOOKUP(I36,enum!D$4:N$30,11,FALSE),"")</f>
        <v/>
      </c>
      <c r="K36" s="4"/>
      <c r="L36" s="28"/>
      <c r="M36" s="13" t="str">
        <f>IFERROR(VLOOKUP(L36,enum!F$4:N$30,9,FALSE),"")</f>
        <v/>
      </c>
      <c r="N36" s="4"/>
      <c r="O36" s="4"/>
      <c r="P36" s="4"/>
      <c r="Q36" s="4"/>
      <c r="R36" s="4"/>
      <c r="S36" s="4"/>
      <c r="T36" s="7"/>
    </row>
    <row r="37" spans="2:20" s="2" customFormat="1" x14ac:dyDescent="0.15">
      <c r="B37" s="26"/>
      <c r="C37" s="4"/>
      <c r="D37" s="4" t="str">
        <f>IFERROR(VLOOKUP(C37,enum!B$4:N$30,13,FALSE),"")</f>
        <v/>
      </c>
      <c r="E37" s="4"/>
      <c r="F37" s="4"/>
      <c r="G37" s="4"/>
      <c r="H37" s="4"/>
      <c r="I37" s="4"/>
      <c r="J37" s="5" t="str">
        <f>IFERROR(VLOOKUP(I37,enum!D$4:N$30,11,FALSE),"")</f>
        <v/>
      </c>
      <c r="K37" s="4"/>
      <c r="L37" s="28"/>
      <c r="M37" s="13" t="str">
        <f>IFERROR(VLOOKUP(L37,enum!F$4:N$30,9,FALSE),"")</f>
        <v/>
      </c>
      <c r="N37" s="4"/>
      <c r="O37" s="4"/>
      <c r="P37" s="4"/>
      <c r="Q37" s="4"/>
      <c r="R37" s="4"/>
      <c r="S37" s="4"/>
      <c r="T37" s="7"/>
    </row>
    <row r="38" spans="2:20" s="2" customFormat="1" x14ac:dyDescent="0.15">
      <c r="B38" s="26"/>
      <c r="C38" s="4"/>
      <c r="D38" s="4" t="str">
        <f>IFERROR(VLOOKUP(C38,enum!B$4:N$30,13,FALSE),"")</f>
        <v/>
      </c>
      <c r="E38" s="4"/>
      <c r="F38" s="4"/>
      <c r="G38" s="4"/>
      <c r="H38" s="4"/>
      <c r="I38" s="4"/>
      <c r="J38" s="5" t="str">
        <f>IFERROR(VLOOKUP(I38,enum!D$4:N$30,11,FALSE),"")</f>
        <v/>
      </c>
      <c r="K38" s="4"/>
      <c r="L38" s="28"/>
      <c r="M38" s="13" t="str">
        <f>IFERROR(VLOOKUP(L38,enum!F$4:N$30,9,FALSE),"")</f>
        <v/>
      </c>
      <c r="N38" s="4"/>
      <c r="O38" s="4"/>
      <c r="P38" s="4"/>
      <c r="Q38" s="4"/>
      <c r="R38" s="4"/>
      <c r="S38" s="4"/>
      <c r="T38" s="7"/>
    </row>
    <row r="39" spans="2:20" s="2" customFormat="1" x14ac:dyDescent="0.15">
      <c r="B39" s="26"/>
      <c r="C39" s="4"/>
      <c r="D39" s="4" t="str">
        <f>IFERROR(VLOOKUP(C39,enum!B$4:N$30,13,FALSE),"")</f>
        <v/>
      </c>
      <c r="E39" s="4"/>
      <c r="F39" s="4"/>
      <c r="G39" s="4"/>
      <c r="H39" s="4"/>
      <c r="I39" s="4"/>
      <c r="J39" s="5" t="str">
        <f>IFERROR(VLOOKUP(I39,enum!D$4:N$30,11,FALSE),"")</f>
        <v/>
      </c>
      <c r="K39" s="4"/>
      <c r="L39" s="28"/>
      <c r="M39" s="13" t="str">
        <f>IFERROR(VLOOKUP(L39,enum!F$4:N$30,9,FALSE),"")</f>
        <v/>
      </c>
      <c r="N39" s="4"/>
      <c r="O39" s="4"/>
      <c r="P39" s="4"/>
      <c r="Q39" s="4"/>
      <c r="R39" s="4"/>
      <c r="S39" s="4"/>
      <c r="T39" s="7"/>
    </row>
    <row r="40" spans="2:20" s="2" customFormat="1" x14ac:dyDescent="0.15">
      <c r="B40" s="26"/>
      <c r="C40" s="4"/>
      <c r="D40" s="4" t="str">
        <f>IFERROR(VLOOKUP(C40,enum!B$4:N$30,13,FALSE),"")</f>
        <v/>
      </c>
      <c r="E40" s="4"/>
      <c r="F40" s="4"/>
      <c r="G40" s="4"/>
      <c r="H40" s="4"/>
      <c r="I40" s="4"/>
      <c r="J40" s="5" t="str">
        <f>IFERROR(VLOOKUP(I40,enum!D$4:N$30,11,FALSE),"")</f>
        <v/>
      </c>
      <c r="K40" s="4"/>
      <c r="L40" s="28"/>
      <c r="M40" s="13" t="str">
        <f>IFERROR(VLOOKUP(L40,enum!F$4:N$30,9,FALSE),"")</f>
        <v/>
      </c>
      <c r="N40" s="4"/>
      <c r="O40" s="4"/>
      <c r="P40" s="4"/>
      <c r="Q40" s="4"/>
      <c r="R40" s="4"/>
      <c r="S40" s="4"/>
      <c r="T40" s="7"/>
    </row>
    <row r="41" spans="2:20" s="2" customFormat="1" x14ac:dyDescent="0.15">
      <c r="B41" s="26"/>
      <c r="C41" s="4"/>
      <c r="D41" s="4" t="str">
        <f>IFERROR(VLOOKUP(C41,enum!B$4:N$30,13,FALSE),"")</f>
        <v/>
      </c>
      <c r="E41" s="4"/>
      <c r="F41" s="4"/>
      <c r="G41" s="4"/>
      <c r="H41" s="4"/>
      <c r="I41" s="4"/>
      <c r="J41" s="5" t="str">
        <f>IFERROR(VLOOKUP(I41,enum!D$4:N$30,11,FALSE),"")</f>
        <v/>
      </c>
      <c r="K41" s="4"/>
      <c r="L41" s="28"/>
      <c r="M41" s="13" t="str">
        <f>IFERROR(VLOOKUP(L41,enum!F$4:N$30,9,FALSE),"")</f>
        <v/>
      </c>
      <c r="N41" s="4"/>
      <c r="O41" s="4"/>
      <c r="P41" s="4"/>
      <c r="Q41" s="4"/>
      <c r="R41" s="4"/>
      <c r="S41" s="4"/>
      <c r="T41" s="7"/>
    </row>
    <row r="42" spans="2:20" s="2" customFormat="1" x14ac:dyDescent="0.15">
      <c r="B42" s="26"/>
      <c r="C42" s="4"/>
      <c r="D42" s="4" t="str">
        <f>IFERROR(VLOOKUP(C42,enum!B$4:N$30,13,FALSE),"")</f>
        <v/>
      </c>
      <c r="E42" s="4"/>
      <c r="F42" s="4"/>
      <c r="G42" s="4"/>
      <c r="H42" s="4"/>
      <c r="I42" s="4"/>
      <c r="J42" s="5" t="str">
        <f>IFERROR(VLOOKUP(I42,enum!D$4:N$30,11,FALSE),"")</f>
        <v/>
      </c>
      <c r="K42" s="4"/>
      <c r="L42" s="28"/>
      <c r="M42" s="13" t="str">
        <f>IFERROR(VLOOKUP(L42,enum!F$4:N$30,9,FALSE),"")</f>
        <v/>
      </c>
      <c r="N42" s="4"/>
      <c r="O42" s="4"/>
      <c r="P42" s="4"/>
      <c r="Q42" s="4"/>
      <c r="R42" s="4"/>
      <c r="S42" s="4"/>
      <c r="T42" s="7"/>
    </row>
    <row r="43" spans="2:20" s="2" customFormat="1" x14ac:dyDescent="0.15">
      <c r="B43" s="26"/>
      <c r="C43" s="4"/>
      <c r="D43" s="4" t="str">
        <f>IFERROR(VLOOKUP(C43,enum!B$4:N$30,13,FALSE),"")</f>
        <v/>
      </c>
      <c r="E43" s="4"/>
      <c r="F43" s="4"/>
      <c r="G43" s="4"/>
      <c r="H43" s="4"/>
      <c r="I43" s="4"/>
      <c r="J43" s="5" t="str">
        <f>IFERROR(VLOOKUP(I43,enum!D$4:N$30,11,FALSE),"")</f>
        <v/>
      </c>
      <c r="K43" s="4"/>
      <c r="L43" s="28"/>
      <c r="M43" s="13" t="str">
        <f>IFERROR(VLOOKUP(L43,enum!F$4:N$30,9,FALSE),"")</f>
        <v/>
      </c>
      <c r="N43" s="4"/>
      <c r="O43" s="4"/>
      <c r="P43" s="4"/>
      <c r="Q43" s="4"/>
      <c r="R43" s="4"/>
      <c r="S43" s="4"/>
      <c r="T43" s="7"/>
    </row>
    <row r="44" spans="2:20" s="2" customFormat="1" x14ac:dyDescent="0.15">
      <c r="B44" s="26"/>
      <c r="C44" s="4"/>
      <c r="D44" s="4" t="str">
        <f>IFERROR(VLOOKUP(C44,enum!B$4:N$30,13,FALSE),"")</f>
        <v/>
      </c>
      <c r="E44" s="4"/>
      <c r="F44" s="4"/>
      <c r="G44" s="4"/>
      <c r="H44" s="4"/>
      <c r="I44" s="4"/>
      <c r="J44" s="5" t="str">
        <f>IFERROR(VLOOKUP(I44,enum!D$4:N$30,11,FALSE),"")</f>
        <v/>
      </c>
      <c r="K44" s="4"/>
      <c r="L44" s="28"/>
      <c r="M44" s="13" t="str">
        <f>IFERROR(VLOOKUP(L44,enum!F$4:N$30,9,FALSE),"")</f>
        <v/>
      </c>
      <c r="N44" s="4"/>
      <c r="O44" s="4"/>
      <c r="P44" s="4"/>
      <c r="Q44" s="4"/>
      <c r="R44" s="4"/>
      <c r="S44" s="4"/>
      <c r="T44" s="7"/>
    </row>
    <row r="45" spans="2:20" s="2" customFormat="1" x14ac:dyDescent="0.15">
      <c r="B45" s="26"/>
      <c r="C45" s="4"/>
      <c r="D45" s="4" t="str">
        <f>IFERROR(VLOOKUP(C45,enum!B$4:N$30,13,FALSE),"")</f>
        <v/>
      </c>
      <c r="E45" s="4"/>
      <c r="F45" s="4"/>
      <c r="G45" s="4"/>
      <c r="H45" s="4"/>
      <c r="I45" s="4"/>
      <c r="J45" s="5" t="str">
        <f>IFERROR(VLOOKUP(I45,enum!D$4:N$30,11,FALSE),"")</f>
        <v/>
      </c>
      <c r="K45" s="4"/>
      <c r="L45" s="28"/>
      <c r="M45" s="13" t="str">
        <f>IFERROR(VLOOKUP(L45,enum!F$4:N$30,9,FALSE),"")</f>
        <v/>
      </c>
      <c r="N45" s="4"/>
      <c r="O45" s="4"/>
      <c r="P45" s="4"/>
      <c r="Q45" s="4"/>
      <c r="R45" s="4"/>
      <c r="S45" s="4"/>
      <c r="T45" s="7"/>
    </row>
    <row r="46" spans="2:20" s="2" customFormat="1" x14ac:dyDescent="0.15">
      <c r="B46" s="26"/>
      <c r="C46" s="4"/>
      <c r="D46" s="4" t="str">
        <f>IFERROR(VLOOKUP(C46,enum!B$4:N$30,13,FALSE),"")</f>
        <v/>
      </c>
      <c r="E46" s="4"/>
      <c r="F46" s="4"/>
      <c r="G46" s="4"/>
      <c r="H46" s="4"/>
      <c r="I46" s="4"/>
      <c r="J46" s="5" t="str">
        <f>IFERROR(VLOOKUP(I46,enum!D$4:N$30,11,FALSE),"")</f>
        <v/>
      </c>
      <c r="K46" s="4"/>
      <c r="L46" s="28"/>
      <c r="M46" s="13" t="str">
        <f>IFERROR(VLOOKUP(L46,enum!F$4:N$30,9,FALSE),"")</f>
        <v/>
      </c>
      <c r="N46" s="4"/>
      <c r="O46" s="4"/>
      <c r="P46" s="4"/>
      <c r="Q46" s="4"/>
      <c r="R46" s="4"/>
      <c r="S46" s="4"/>
      <c r="T46" s="7"/>
    </row>
    <row r="47" spans="2:20" s="2" customFormat="1" x14ac:dyDescent="0.15">
      <c r="B47" s="26"/>
      <c r="C47" s="4"/>
      <c r="D47" s="4" t="str">
        <f>IFERROR(VLOOKUP(C47,enum!B$4:N$30,13,FALSE),"")</f>
        <v/>
      </c>
      <c r="E47" s="4"/>
      <c r="F47" s="4"/>
      <c r="G47" s="4"/>
      <c r="H47" s="4"/>
      <c r="I47" s="4"/>
      <c r="J47" s="5" t="str">
        <f>IFERROR(VLOOKUP(I47,enum!D$4:N$30,11,FALSE),"")</f>
        <v/>
      </c>
      <c r="K47" s="4"/>
      <c r="L47" s="28"/>
      <c r="M47" s="13" t="str">
        <f>IFERROR(VLOOKUP(L47,enum!F$4:N$30,9,FALSE),"")</f>
        <v/>
      </c>
      <c r="N47" s="4"/>
      <c r="O47" s="4"/>
      <c r="P47" s="4"/>
      <c r="Q47" s="4"/>
      <c r="R47" s="4"/>
      <c r="S47" s="4"/>
      <c r="T47" s="7"/>
    </row>
    <row r="48" spans="2:20" s="2" customFormat="1" x14ac:dyDescent="0.15">
      <c r="B48" s="26"/>
      <c r="C48" s="4"/>
      <c r="D48" s="4" t="str">
        <f>IFERROR(VLOOKUP(C48,enum!B$4:N$30,13,FALSE),"")</f>
        <v/>
      </c>
      <c r="E48" s="4"/>
      <c r="F48" s="4"/>
      <c r="G48" s="4"/>
      <c r="H48" s="4"/>
      <c r="I48" s="4"/>
      <c r="J48" s="5" t="str">
        <f>IFERROR(VLOOKUP(I48,enum!D$4:N$30,11,FALSE),"")</f>
        <v/>
      </c>
      <c r="K48" s="4"/>
      <c r="L48" s="28"/>
      <c r="M48" s="13" t="str">
        <f>IFERROR(VLOOKUP(L48,enum!F$4:N$30,9,FALSE),"")</f>
        <v/>
      </c>
      <c r="N48" s="4"/>
      <c r="O48" s="4"/>
      <c r="P48" s="4"/>
      <c r="Q48" s="4"/>
      <c r="R48" s="4"/>
      <c r="S48" s="4"/>
      <c r="T48" s="7"/>
    </row>
    <row r="49" spans="2:20" s="2" customFormat="1" x14ac:dyDescent="0.15">
      <c r="B49" s="26"/>
      <c r="C49" s="4"/>
      <c r="D49" s="4" t="str">
        <f>IFERROR(VLOOKUP(C49,enum!B$4:N$30,13,FALSE),"")</f>
        <v/>
      </c>
      <c r="E49" s="4"/>
      <c r="F49" s="4"/>
      <c r="G49" s="4"/>
      <c r="H49" s="4"/>
      <c r="I49" s="4"/>
      <c r="J49" s="5" t="str">
        <f>IFERROR(VLOOKUP(I49,enum!D$4:N$30,11,FALSE),"")</f>
        <v/>
      </c>
      <c r="K49" s="4"/>
      <c r="L49" s="28"/>
      <c r="M49" s="13" t="str">
        <f>IFERROR(VLOOKUP(L49,enum!F$4:N$30,9,FALSE),"")</f>
        <v/>
      </c>
      <c r="N49" s="4"/>
      <c r="O49" s="4"/>
      <c r="P49" s="4"/>
      <c r="Q49" s="4"/>
      <c r="R49" s="4"/>
      <c r="S49" s="4"/>
      <c r="T49" s="7"/>
    </row>
    <row r="50" spans="2:20" s="2" customFormat="1" x14ac:dyDescent="0.15">
      <c r="B50" s="26"/>
      <c r="C50" s="4"/>
      <c r="D50" s="4" t="str">
        <f>IFERROR(VLOOKUP(C50,enum!B$4:N$30,13,FALSE),"")</f>
        <v/>
      </c>
      <c r="E50" s="4"/>
      <c r="F50" s="4"/>
      <c r="G50" s="4"/>
      <c r="H50" s="4"/>
      <c r="I50" s="4"/>
      <c r="J50" s="5" t="str">
        <f>IFERROR(VLOOKUP(I50,enum!D$4:N$30,11,FALSE),"")</f>
        <v/>
      </c>
      <c r="K50" s="4"/>
      <c r="L50" s="28"/>
      <c r="M50" s="13" t="str">
        <f>IFERROR(VLOOKUP(L50,enum!F$4:N$30,9,FALSE),"")</f>
        <v/>
      </c>
      <c r="N50" s="4"/>
      <c r="O50" s="4"/>
      <c r="P50" s="4"/>
      <c r="Q50" s="4"/>
      <c r="R50" s="4"/>
      <c r="S50" s="4"/>
      <c r="T50" s="7"/>
    </row>
    <row r="51" spans="2:20" s="2" customFormat="1" x14ac:dyDescent="0.15">
      <c r="B51" s="26"/>
      <c r="C51" s="4"/>
      <c r="D51" s="4" t="str">
        <f>IFERROR(VLOOKUP(C51,enum!B$4:N$30,13,FALSE),"")</f>
        <v/>
      </c>
      <c r="E51" s="4"/>
      <c r="F51" s="4"/>
      <c r="G51" s="4"/>
      <c r="H51" s="4"/>
      <c r="I51" s="4"/>
      <c r="J51" s="5" t="str">
        <f>IFERROR(VLOOKUP(I51,enum!D$4:N$30,11,FALSE),"")</f>
        <v/>
      </c>
      <c r="K51" s="4"/>
      <c r="L51" s="28"/>
      <c r="M51" s="13" t="str">
        <f>IFERROR(VLOOKUP(L51,enum!F$4:N$30,9,FALSE),"")</f>
        <v/>
      </c>
      <c r="N51" s="4"/>
      <c r="O51" s="4"/>
      <c r="P51" s="4"/>
      <c r="Q51" s="4"/>
      <c r="R51" s="4"/>
      <c r="S51" s="4"/>
      <c r="T51" s="7"/>
    </row>
    <row r="52" spans="2:20" s="2" customFormat="1" x14ac:dyDescent="0.15">
      <c r="B52" s="26"/>
      <c r="C52" s="4"/>
      <c r="D52" s="4" t="str">
        <f>IFERROR(VLOOKUP(C52,enum!B$4:N$30,13,FALSE),"")</f>
        <v/>
      </c>
      <c r="E52" s="4"/>
      <c r="F52" s="4"/>
      <c r="G52" s="4"/>
      <c r="H52" s="4"/>
      <c r="I52" s="4"/>
      <c r="J52" s="5" t="str">
        <f>IFERROR(VLOOKUP(I52,enum!D$4:N$30,11,FALSE),"")</f>
        <v/>
      </c>
      <c r="K52" s="4"/>
      <c r="L52" s="28"/>
      <c r="M52" s="13" t="str">
        <f>IFERROR(VLOOKUP(L52,enum!F$4:N$30,9,FALSE),"")</f>
        <v/>
      </c>
      <c r="N52" s="4"/>
      <c r="O52" s="4"/>
      <c r="P52" s="4"/>
      <c r="Q52" s="4"/>
      <c r="R52" s="4"/>
      <c r="S52" s="4"/>
      <c r="T52" s="7"/>
    </row>
    <row r="53" spans="2:20" s="2" customFormat="1" x14ac:dyDescent="0.15">
      <c r="B53" s="26"/>
      <c r="C53" s="4"/>
      <c r="D53" s="4" t="str">
        <f>IFERROR(VLOOKUP(C53,enum!B$4:N$30,13,FALSE),"")</f>
        <v/>
      </c>
      <c r="E53" s="4"/>
      <c r="F53" s="4"/>
      <c r="G53" s="4"/>
      <c r="H53" s="4"/>
      <c r="I53" s="4"/>
      <c r="J53" s="5" t="str">
        <f>IFERROR(VLOOKUP(I53,enum!D$4:N$30,11,FALSE),"")</f>
        <v/>
      </c>
      <c r="K53" s="4"/>
      <c r="L53" s="28"/>
      <c r="M53" s="13" t="str">
        <f>IFERROR(VLOOKUP(L53,enum!F$4:N$30,9,FALSE),"")</f>
        <v/>
      </c>
      <c r="N53" s="4"/>
      <c r="O53" s="4"/>
      <c r="P53" s="4"/>
      <c r="Q53" s="4"/>
      <c r="R53" s="4"/>
      <c r="S53" s="4"/>
      <c r="T53" s="7"/>
    </row>
    <row r="54" spans="2:20" s="2" customFormat="1" x14ac:dyDescent="0.15">
      <c r="B54" s="26"/>
      <c r="C54" s="4"/>
      <c r="D54" s="4" t="str">
        <f>IFERROR(VLOOKUP(C54,enum!B$4:N$30,13,FALSE),"")</f>
        <v/>
      </c>
      <c r="E54" s="4"/>
      <c r="F54" s="4"/>
      <c r="G54" s="4"/>
      <c r="H54" s="4"/>
      <c r="I54" s="4"/>
      <c r="J54" s="5" t="str">
        <f>IFERROR(VLOOKUP(I54,enum!D$4:N$30,11,FALSE),"")</f>
        <v/>
      </c>
      <c r="K54" s="4"/>
      <c r="L54" s="28"/>
      <c r="M54" s="13" t="str">
        <f>IFERROR(VLOOKUP(L54,enum!F$4:N$30,9,FALSE),"")</f>
        <v/>
      </c>
      <c r="N54" s="4"/>
      <c r="O54" s="4"/>
      <c r="P54" s="4"/>
      <c r="Q54" s="4"/>
      <c r="R54" s="4"/>
      <c r="S54" s="4"/>
      <c r="T54" s="7"/>
    </row>
    <row r="55" spans="2:20" s="2" customFormat="1" x14ac:dyDescent="0.15">
      <c r="B55" s="26"/>
      <c r="C55" s="4"/>
      <c r="D55" s="4" t="str">
        <f>IFERROR(VLOOKUP(C55,enum!B$4:N$30,13,FALSE),"")</f>
        <v/>
      </c>
      <c r="E55" s="4"/>
      <c r="F55" s="4"/>
      <c r="G55" s="4"/>
      <c r="H55" s="4"/>
      <c r="I55" s="4"/>
      <c r="J55" s="5" t="str">
        <f>IFERROR(VLOOKUP(I55,enum!D$4:N$30,11,FALSE),"")</f>
        <v/>
      </c>
      <c r="K55" s="4"/>
      <c r="L55" s="28"/>
      <c r="M55" s="13" t="str">
        <f>IFERROR(VLOOKUP(L55,enum!F$4:N$30,9,FALSE),"")</f>
        <v/>
      </c>
      <c r="N55" s="4"/>
      <c r="O55" s="4"/>
      <c r="P55" s="4"/>
      <c r="Q55" s="4"/>
      <c r="R55" s="4"/>
      <c r="S55" s="4"/>
      <c r="T55" s="7"/>
    </row>
    <row r="56" spans="2:20" s="2" customFormat="1" x14ac:dyDescent="0.15">
      <c r="B56" s="26"/>
      <c r="C56" s="4"/>
      <c r="D56" s="4" t="str">
        <f>IFERROR(VLOOKUP(C56,enum!B$4:N$30,13,FALSE),"")</f>
        <v/>
      </c>
      <c r="E56" s="4"/>
      <c r="F56" s="4"/>
      <c r="G56" s="4"/>
      <c r="H56" s="4"/>
      <c r="I56" s="4"/>
      <c r="J56" s="5" t="str">
        <f>IFERROR(VLOOKUP(I56,enum!D$4:N$30,11,FALSE),"")</f>
        <v/>
      </c>
      <c r="K56" s="4"/>
      <c r="L56" s="28"/>
      <c r="M56" s="13" t="str">
        <f>IFERROR(VLOOKUP(L56,enum!F$4:N$30,9,FALSE),"")</f>
        <v/>
      </c>
      <c r="N56" s="4"/>
      <c r="O56" s="4"/>
      <c r="P56" s="4"/>
      <c r="Q56" s="4"/>
      <c r="R56" s="4"/>
      <c r="S56" s="4"/>
      <c r="T56" s="7"/>
    </row>
    <row r="57" spans="2:20" s="2" customFormat="1" x14ac:dyDescent="0.15">
      <c r="B57" s="26"/>
      <c r="C57" s="4"/>
      <c r="D57" s="4" t="str">
        <f>IFERROR(VLOOKUP(C57,enum!B$4:N$30,13,FALSE),"")</f>
        <v/>
      </c>
      <c r="E57" s="4"/>
      <c r="F57" s="4"/>
      <c r="G57" s="4"/>
      <c r="H57" s="4"/>
      <c r="I57" s="4"/>
      <c r="J57" s="5" t="str">
        <f>IFERROR(VLOOKUP(I57,enum!D$4:N$30,11,FALSE),"")</f>
        <v/>
      </c>
      <c r="K57" s="4"/>
      <c r="L57" s="28"/>
      <c r="M57" s="13" t="str">
        <f>IFERROR(VLOOKUP(L57,enum!F$4:N$30,9,FALSE),"")</f>
        <v/>
      </c>
      <c r="N57" s="4"/>
      <c r="O57" s="4"/>
      <c r="P57" s="4"/>
      <c r="Q57" s="4"/>
      <c r="R57" s="4"/>
      <c r="S57" s="4"/>
      <c r="T57" s="7"/>
    </row>
    <row r="58" spans="2:20" s="2" customFormat="1" x14ac:dyDescent="0.15">
      <c r="B58" s="26"/>
      <c r="C58" s="4"/>
      <c r="D58" s="4" t="str">
        <f>IFERROR(VLOOKUP(C58,enum!B$4:N$30,13,FALSE),"")</f>
        <v/>
      </c>
      <c r="E58" s="4"/>
      <c r="F58" s="4"/>
      <c r="G58" s="4"/>
      <c r="H58" s="4"/>
      <c r="I58" s="4"/>
      <c r="J58" s="5" t="str">
        <f>IFERROR(VLOOKUP(I58,enum!D$4:N$30,11,FALSE),"")</f>
        <v/>
      </c>
      <c r="K58" s="4"/>
      <c r="L58" s="28"/>
      <c r="M58" s="13" t="str">
        <f>IFERROR(VLOOKUP(L58,enum!F$4:N$30,9,FALSE),"")</f>
        <v/>
      </c>
      <c r="N58" s="4"/>
      <c r="O58" s="4"/>
      <c r="P58" s="4"/>
      <c r="Q58" s="4"/>
      <c r="R58" s="4"/>
      <c r="S58" s="4"/>
      <c r="T58" s="7"/>
    </row>
    <row r="59" spans="2:20" s="2" customFormat="1" x14ac:dyDescent="0.15">
      <c r="B59" s="26"/>
      <c r="C59" s="4"/>
      <c r="D59" s="4" t="str">
        <f>IFERROR(VLOOKUP(C59,enum!B$4:N$30,13,FALSE),"")</f>
        <v/>
      </c>
      <c r="E59" s="4"/>
      <c r="F59" s="4"/>
      <c r="G59" s="4"/>
      <c r="H59" s="4"/>
      <c r="I59" s="4"/>
      <c r="J59" s="5" t="str">
        <f>IFERROR(VLOOKUP(I59,enum!D$4:N$30,11,FALSE),"")</f>
        <v/>
      </c>
      <c r="K59" s="4"/>
      <c r="L59" s="28"/>
      <c r="M59" s="13" t="str">
        <f>IFERROR(VLOOKUP(L59,enum!F$4:N$30,9,FALSE),"")</f>
        <v/>
      </c>
      <c r="N59" s="4"/>
      <c r="O59" s="4"/>
      <c r="P59" s="4"/>
      <c r="Q59" s="4"/>
      <c r="R59" s="4"/>
      <c r="S59" s="4"/>
      <c r="T59" s="7"/>
    </row>
    <row r="60" spans="2:20" s="2" customFormat="1" x14ac:dyDescent="0.15">
      <c r="B60" s="26"/>
      <c r="C60" s="4"/>
      <c r="D60" s="4" t="str">
        <f>IFERROR(VLOOKUP(C60,enum!B$4:N$30,13,FALSE),"")</f>
        <v/>
      </c>
      <c r="E60" s="4"/>
      <c r="F60" s="4"/>
      <c r="G60" s="4"/>
      <c r="H60" s="4"/>
      <c r="I60" s="4"/>
      <c r="J60" s="5" t="str">
        <f>IFERROR(VLOOKUP(I60,enum!D$4:N$30,11,FALSE),"")</f>
        <v/>
      </c>
      <c r="K60" s="4"/>
      <c r="L60" s="28"/>
      <c r="M60" s="13" t="str">
        <f>IFERROR(VLOOKUP(L60,enum!F$4:N$30,9,FALSE),"")</f>
        <v/>
      </c>
      <c r="N60" s="4"/>
      <c r="O60" s="4"/>
      <c r="P60" s="4"/>
      <c r="Q60" s="4"/>
      <c r="R60" s="4"/>
      <c r="S60" s="4"/>
      <c r="T60" s="7"/>
    </row>
    <row r="61" spans="2:20" s="2" customFormat="1" x14ac:dyDescent="0.15">
      <c r="B61" s="26"/>
      <c r="C61" s="4"/>
      <c r="D61" s="4" t="str">
        <f>IFERROR(VLOOKUP(C61,enum!B$4:N$30,13,FALSE),"")</f>
        <v/>
      </c>
      <c r="E61" s="4"/>
      <c r="F61" s="4"/>
      <c r="G61" s="4"/>
      <c r="H61" s="4"/>
      <c r="I61" s="4"/>
      <c r="J61" s="5" t="str">
        <f>IFERROR(VLOOKUP(I61,enum!D$4:N$30,11,FALSE),"")</f>
        <v/>
      </c>
      <c r="K61" s="4"/>
      <c r="L61" s="28"/>
      <c r="M61" s="13" t="str">
        <f>IFERROR(VLOOKUP(L61,enum!F$4:N$30,9,FALSE),"")</f>
        <v/>
      </c>
      <c r="N61" s="4"/>
      <c r="O61" s="4"/>
      <c r="P61" s="4"/>
      <c r="Q61" s="4"/>
      <c r="R61" s="4"/>
      <c r="S61" s="4"/>
      <c r="T61" s="7"/>
    </row>
    <row r="62" spans="2:20" s="2" customFormat="1" x14ac:dyDescent="0.15">
      <c r="B62" s="26"/>
      <c r="C62" s="4"/>
      <c r="D62" s="4" t="str">
        <f>IFERROR(VLOOKUP(C62,enum!B$4:N$30,13,FALSE),"")</f>
        <v/>
      </c>
      <c r="E62" s="4"/>
      <c r="F62" s="4"/>
      <c r="G62" s="4"/>
      <c r="H62" s="4"/>
      <c r="I62" s="4"/>
      <c r="J62" s="5" t="str">
        <f>IFERROR(VLOOKUP(I62,enum!D$4:N$30,11,FALSE),"")</f>
        <v/>
      </c>
      <c r="K62" s="4"/>
      <c r="L62" s="28"/>
      <c r="M62" s="13" t="str">
        <f>IFERROR(VLOOKUP(L62,enum!F$4:N$30,9,FALSE),"")</f>
        <v/>
      </c>
      <c r="N62" s="4"/>
      <c r="O62" s="4"/>
      <c r="P62" s="4"/>
      <c r="Q62" s="4"/>
      <c r="R62" s="4"/>
      <c r="S62" s="4"/>
      <c r="T62" s="7"/>
    </row>
    <row r="63" spans="2:20" s="2" customFormat="1" x14ac:dyDescent="0.15">
      <c r="B63" s="26"/>
      <c r="C63" s="4"/>
      <c r="D63" s="4" t="str">
        <f>IFERROR(VLOOKUP(C63,enum!B$4:N$30,13,FALSE),"")</f>
        <v/>
      </c>
      <c r="E63" s="4"/>
      <c r="F63" s="4"/>
      <c r="G63" s="4"/>
      <c r="H63" s="4"/>
      <c r="I63" s="4"/>
      <c r="J63" s="5" t="str">
        <f>IFERROR(VLOOKUP(I63,enum!D$4:N$30,11,FALSE),"")</f>
        <v/>
      </c>
      <c r="K63" s="4"/>
      <c r="L63" s="28"/>
      <c r="M63" s="13" t="str">
        <f>IFERROR(VLOOKUP(L63,enum!F$4:N$30,9,FALSE),"")</f>
        <v/>
      </c>
      <c r="N63" s="4"/>
      <c r="O63" s="4"/>
      <c r="P63" s="4"/>
      <c r="Q63" s="4"/>
      <c r="R63" s="4"/>
      <c r="S63" s="4"/>
      <c r="T63" s="7"/>
    </row>
    <row r="64" spans="2:20" s="2" customFormat="1" x14ac:dyDescent="0.15">
      <c r="B64" s="26"/>
      <c r="C64" s="4"/>
      <c r="D64" s="4" t="str">
        <f>IFERROR(VLOOKUP(C64,enum!B$4:N$30,13,FALSE),"")</f>
        <v/>
      </c>
      <c r="E64" s="4"/>
      <c r="F64" s="4"/>
      <c r="G64" s="4"/>
      <c r="H64" s="4"/>
      <c r="I64" s="4"/>
      <c r="J64" s="5" t="str">
        <f>IFERROR(VLOOKUP(I64,enum!D$4:N$30,11,FALSE),"")</f>
        <v/>
      </c>
      <c r="K64" s="4"/>
      <c r="L64" s="28"/>
      <c r="M64" s="13" t="str">
        <f>IFERROR(VLOOKUP(L64,enum!F$4:N$30,9,FALSE),"")</f>
        <v/>
      </c>
      <c r="N64" s="4"/>
      <c r="O64" s="4"/>
      <c r="P64" s="4"/>
      <c r="Q64" s="4"/>
      <c r="R64" s="4"/>
      <c r="S64" s="4"/>
      <c r="T64" s="7"/>
    </row>
    <row r="65" spans="2:20" s="2" customFormat="1" x14ac:dyDescent="0.15">
      <c r="B65" s="26"/>
      <c r="C65" s="4"/>
      <c r="D65" s="4" t="str">
        <f>IFERROR(VLOOKUP(C65,enum!B$4:N$30,13,FALSE),"")</f>
        <v/>
      </c>
      <c r="E65" s="4"/>
      <c r="F65" s="4"/>
      <c r="G65" s="4"/>
      <c r="H65" s="4"/>
      <c r="I65" s="4"/>
      <c r="J65" s="5" t="str">
        <f>IFERROR(VLOOKUP(I65,enum!D$4:N$30,11,FALSE),"")</f>
        <v/>
      </c>
      <c r="K65" s="4"/>
      <c r="L65" s="28"/>
      <c r="M65" s="13" t="str">
        <f>IFERROR(VLOOKUP(L65,enum!F$4:N$30,9,FALSE),"")</f>
        <v/>
      </c>
      <c r="N65" s="4"/>
      <c r="O65" s="4"/>
      <c r="P65" s="4"/>
      <c r="Q65" s="4"/>
      <c r="R65" s="4"/>
      <c r="S65" s="4"/>
      <c r="T65" s="7"/>
    </row>
    <row r="66" spans="2:20" s="2" customFormat="1" x14ac:dyDescent="0.15">
      <c r="B66" s="26"/>
      <c r="C66" s="4"/>
      <c r="D66" s="4" t="str">
        <f>IFERROR(VLOOKUP(C66,enum!B$4:N$30,13,FALSE),"")</f>
        <v/>
      </c>
      <c r="E66" s="4"/>
      <c r="F66" s="4"/>
      <c r="G66" s="4"/>
      <c r="H66" s="4"/>
      <c r="I66" s="4"/>
      <c r="J66" s="5" t="str">
        <f>IFERROR(VLOOKUP(I66,enum!D$4:N$30,11,FALSE),"")</f>
        <v/>
      </c>
      <c r="K66" s="4"/>
      <c r="L66" s="28"/>
      <c r="M66" s="13" t="str">
        <f>IFERROR(VLOOKUP(L66,enum!F$4:N$30,9,FALSE),"")</f>
        <v/>
      </c>
      <c r="N66" s="4"/>
      <c r="O66" s="4"/>
      <c r="P66" s="4"/>
      <c r="Q66" s="4"/>
      <c r="R66" s="4"/>
      <c r="S66" s="4"/>
      <c r="T66" s="7"/>
    </row>
    <row r="67" spans="2:20" s="2" customFormat="1" x14ac:dyDescent="0.15">
      <c r="B67" s="26"/>
      <c r="C67" s="4"/>
      <c r="D67" s="4" t="str">
        <f>IFERROR(VLOOKUP(C67,enum!B$4:N$30,13,FALSE),"")</f>
        <v/>
      </c>
      <c r="E67" s="4"/>
      <c r="F67" s="4"/>
      <c r="G67" s="4"/>
      <c r="H67" s="4"/>
      <c r="I67" s="4"/>
      <c r="J67" s="5" t="str">
        <f>IFERROR(VLOOKUP(I67,enum!D$4:N$30,11,FALSE),"")</f>
        <v/>
      </c>
      <c r="K67" s="4"/>
      <c r="L67" s="28"/>
      <c r="M67" s="13" t="str">
        <f>IFERROR(VLOOKUP(L67,enum!F$4:N$30,9,FALSE),"")</f>
        <v/>
      </c>
      <c r="N67" s="4"/>
      <c r="O67" s="4"/>
      <c r="P67" s="4"/>
      <c r="Q67" s="4"/>
      <c r="R67" s="4"/>
      <c r="S67" s="4"/>
      <c r="T67" s="7"/>
    </row>
    <row r="68" spans="2:20" s="2" customFormat="1" x14ac:dyDescent="0.15">
      <c r="B68" s="26"/>
      <c r="C68" s="4"/>
      <c r="D68" s="4" t="str">
        <f>IFERROR(VLOOKUP(C68,enum!B$4:N$30,13,FALSE),"")</f>
        <v/>
      </c>
      <c r="E68" s="4"/>
      <c r="F68" s="4"/>
      <c r="G68" s="4"/>
      <c r="H68" s="4"/>
      <c r="I68" s="4"/>
      <c r="J68" s="5" t="str">
        <f>IFERROR(VLOOKUP(I68,enum!D$4:N$30,11,FALSE),"")</f>
        <v/>
      </c>
      <c r="K68" s="4"/>
      <c r="L68" s="28"/>
      <c r="M68" s="13" t="str">
        <f>IFERROR(VLOOKUP(L68,enum!F$4:N$30,9,FALSE),"")</f>
        <v/>
      </c>
      <c r="N68" s="4"/>
      <c r="O68" s="4"/>
      <c r="P68" s="4"/>
      <c r="Q68" s="4"/>
      <c r="R68" s="4"/>
      <c r="S68" s="4"/>
      <c r="T68" s="7"/>
    </row>
    <row r="69" spans="2:20" s="2" customFormat="1" x14ac:dyDescent="0.15">
      <c r="B69" s="26"/>
      <c r="C69" s="4"/>
      <c r="D69" s="4" t="str">
        <f>IFERROR(VLOOKUP(C69,enum!B$4:N$30,13,FALSE),"")</f>
        <v/>
      </c>
      <c r="E69" s="4"/>
      <c r="F69" s="4"/>
      <c r="G69" s="4"/>
      <c r="H69" s="4"/>
      <c r="I69" s="4"/>
      <c r="J69" s="5" t="str">
        <f>IFERROR(VLOOKUP(I69,enum!D$4:N$30,11,FALSE),"")</f>
        <v/>
      </c>
      <c r="K69" s="4"/>
      <c r="L69" s="28"/>
      <c r="M69" s="13" t="str">
        <f>IFERROR(VLOOKUP(L69,enum!F$4:N$30,9,FALSE),"")</f>
        <v/>
      </c>
      <c r="N69" s="4"/>
      <c r="O69" s="4"/>
      <c r="P69" s="4"/>
      <c r="Q69" s="4"/>
      <c r="R69" s="4"/>
      <c r="S69" s="4"/>
      <c r="T69" s="7"/>
    </row>
    <row r="70" spans="2:20" s="2" customFormat="1" x14ac:dyDescent="0.15">
      <c r="B70" s="26"/>
      <c r="C70" s="4"/>
      <c r="D70" s="4" t="str">
        <f>IFERROR(VLOOKUP(C70,enum!B$4:N$30,13,FALSE),"")</f>
        <v/>
      </c>
      <c r="E70" s="4"/>
      <c r="F70" s="4"/>
      <c r="G70" s="4"/>
      <c r="H70" s="4"/>
      <c r="I70" s="4"/>
      <c r="J70" s="5" t="str">
        <f>IFERROR(VLOOKUP(I70,enum!D$4:N$30,11,FALSE),"")</f>
        <v/>
      </c>
      <c r="K70" s="4"/>
      <c r="L70" s="28"/>
      <c r="M70" s="13" t="str">
        <f>IFERROR(VLOOKUP(L70,enum!F$4:N$30,9,FALSE),"")</f>
        <v/>
      </c>
      <c r="N70" s="4"/>
      <c r="O70" s="4"/>
      <c r="P70" s="4"/>
      <c r="Q70" s="4"/>
      <c r="R70" s="4"/>
      <c r="S70" s="4"/>
      <c r="T70" s="7"/>
    </row>
    <row r="71" spans="2:20" s="2" customFormat="1" x14ac:dyDescent="0.15">
      <c r="B71" s="26"/>
      <c r="C71" s="4"/>
      <c r="D71" s="4" t="str">
        <f>IFERROR(VLOOKUP(C71,enum!B$4:N$30,13,FALSE),"")</f>
        <v/>
      </c>
      <c r="E71" s="4"/>
      <c r="F71" s="4"/>
      <c r="G71" s="4"/>
      <c r="H71" s="4"/>
      <c r="I71" s="4"/>
      <c r="J71" s="5" t="str">
        <f>IFERROR(VLOOKUP(I71,enum!D$4:N$30,11,FALSE),"")</f>
        <v/>
      </c>
      <c r="K71" s="4"/>
      <c r="L71" s="28"/>
      <c r="M71" s="13" t="str">
        <f>IFERROR(VLOOKUP(L71,enum!F$4:N$30,9,FALSE),"")</f>
        <v/>
      </c>
      <c r="N71" s="4"/>
      <c r="O71" s="4"/>
      <c r="P71" s="4"/>
      <c r="Q71" s="4"/>
      <c r="R71" s="4"/>
      <c r="S71" s="4"/>
      <c r="T71" s="7"/>
    </row>
    <row r="72" spans="2:20" s="2" customFormat="1" x14ac:dyDescent="0.15">
      <c r="B72" s="26"/>
      <c r="C72" s="4"/>
      <c r="D72" s="4" t="str">
        <f>IFERROR(VLOOKUP(C72,enum!B$4:N$30,13,FALSE),"")</f>
        <v/>
      </c>
      <c r="E72" s="4"/>
      <c r="F72" s="4"/>
      <c r="G72" s="4"/>
      <c r="H72" s="4"/>
      <c r="I72" s="4"/>
      <c r="J72" s="5" t="str">
        <f>IFERROR(VLOOKUP(I72,enum!D$4:N$30,11,FALSE),"")</f>
        <v/>
      </c>
      <c r="K72" s="4"/>
      <c r="L72" s="28"/>
      <c r="M72" s="13" t="str">
        <f>IFERROR(VLOOKUP(L72,enum!F$4:N$30,9,FALSE),"")</f>
        <v/>
      </c>
      <c r="N72" s="4"/>
      <c r="O72" s="4"/>
      <c r="P72" s="4"/>
      <c r="Q72" s="4"/>
      <c r="R72" s="4"/>
      <c r="S72" s="4"/>
      <c r="T72" s="7"/>
    </row>
    <row r="73" spans="2:20" s="2" customFormat="1" x14ac:dyDescent="0.15">
      <c r="B73" s="26"/>
      <c r="C73" s="4"/>
      <c r="D73" s="4" t="str">
        <f>IFERROR(VLOOKUP(C73,enum!B$4:N$30,13,FALSE),"")</f>
        <v/>
      </c>
      <c r="E73" s="4"/>
      <c r="F73" s="4"/>
      <c r="G73" s="4"/>
      <c r="H73" s="4"/>
      <c r="I73" s="4"/>
      <c r="J73" s="5" t="str">
        <f>IFERROR(VLOOKUP(I73,enum!D$4:N$30,11,FALSE),"")</f>
        <v/>
      </c>
      <c r="K73" s="4"/>
      <c r="L73" s="28"/>
      <c r="M73" s="13" t="str">
        <f>IFERROR(VLOOKUP(L73,enum!F$4:N$30,9,FALSE),"")</f>
        <v/>
      </c>
      <c r="N73" s="4"/>
      <c r="O73" s="4"/>
      <c r="P73" s="4"/>
      <c r="Q73" s="4"/>
      <c r="R73" s="4"/>
      <c r="S73" s="4"/>
      <c r="T73" s="7"/>
    </row>
    <row r="74" spans="2:20" s="2" customFormat="1" x14ac:dyDescent="0.15">
      <c r="B74" s="26"/>
      <c r="C74" s="4"/>
      <c r="D74" s="4" t="str">
        <f>IFERROR(VLOOKUP(C74,enum!B$4:N$30,13,FALSE),"")</f>
        <v/>
      </c>
      <c r="E74" s="4"/>
      <c r="F74" s="4"/>
      <c r="G74" s="4"/>
      <c r="H74" s="4"/>
      <c r="I74" s="4"/>
      <c r="J74" s="5" t="str">
        <f>IFERROR(VLOOKUP(I74,enum!D$4:N$30,11,FALSE),"")</f>
        <v/>
      </c>
      <c r="K74" s="4"/>
      <c r="L74" s="28"/>
      <c r="M74" s="13" t="str">
        <f>IFERROR(VLOOKUP(L74,enum!F$4:N$30,9,FALSE),"")</f>
        <v/>
      </c>
      <c r="N74" s="4"/>
      <c r="O74" s="4"/>
      <c r="P74" s="4"/>
      <c r="Q74" s="4"/>
      <c r="R74" s="4"/>
      <c r="S74" s="4"/>
      <c r="T74" s="7"/>
    </row>
    <row r="75" spans="2:20" s="2" customFormat="1" x14ac:dyDescent="0.15">
      <c r="B75" s="26"/>
      <c r="C75" s="4"/>
      <c r="D75" s="4" t="str">
        <f>IFERROR(VLOOKUP(C75,enum!B$4:N$30,13,FALSE),"")</f>
        <v/>
      </c>
      <c r="E75" s="4"/>
      <c r="F75" s="4"/>
      <c r="G75" s="4"/>
      <c r="H75" s="4"/>
      <c r="I75" s="4"/>
      <c r="J75" s="5" t="str">
        <f>IFERROR(VLOOKUP(I75,enum!D$4:N$30,11,FALSE),"")</f>
        <v/>
      </c>
      <c r="K75" s="4"/>
      <c r="L75" s="28"/>
      <c r="M75" s="13" t="str">
        <f>IFERROR(VLOOKUP(L75,enum!F$4:N$30,9,FALSE),"")</f>
        <v/>
      </c>
      <c r="N75" s="4"/>
      <c r="O75" s="4"/>
      <c r="P75" s="4"/>
      <c r="Q75" s="4"/>
      <c r="R75" s="4"/>
      <c r="S75" s="4"/>
      <c r="T75" s="7"/>
    </row>
    <row r="76" spans="2:20" s="2" customFormat="1" x14ac:dyDescent="0.15">
      <c r="B76" s="26"/>
      <c r="C76" s="4"/>
      <c r="D76" s="4" t="str">
        <f>IFERROR(VLOOKUP(C76,enum!B$4:N$30,13,FALSE),"")</f>
        <v/>
      </c>
      <c r="E76" s="4"/>
      <c r="F76" s="4"/>
      <c r="G76" s="4"/>
      <c r="H76" s="4"/>
      <c r="I76" s="4"/>
      <c r="J76" s="5" t="str">
        <f>IFERROR(VLOOKUP(I76,enum!D$4:N$30,11,FALSE),"")</f>
        <v/>
      </c>
      <c r="K76" s="4"/>
      <c r="L76" s="28"/>
      <c r="M76" s="13" t="str">
        <f>IFERROR(VLOOKUP(L76,enum!F$4:N$30,9,FALSE),"")</f>
        <v/>
      </c>
      <c r="N76" s="4"/>
      <c r="O76" s="4"/>
      <c r="P76" s="4"/>
      <c r="Q76" s="4"/>
      <c r="R76" s="4"/>
      <c r="S76" s="4"/>
      <c r="T76" s="7"/>
    </row>
    <row r="77" spans="2:20" s="2" customFormat="1" x14ac:dyDescent="0.15">
      <c r="B77" s="26"/>
      <c r="C77" s="4"/>
      <c r="D77" s="4" t="str">
        <f>IFERROR(VLOOKUP(C77,enum!B$4:N$30,13,FALSE),"")</f>
        <v/>
      </c>
      <c r="E77" s="4"/>
      <c r="F77" s="4"/>
      <c r="G77" s="4"/>
      <c r="H77" s="4"/>
      <c r="I77" s="4"/>
      <c r="J77" s="5" t="str">
        <f>IFERROR(VLOOKUP(I77,enum!D$4:N$30,11,FALSE),"")</f>
        <v/>
      </c>
      <c r="K77" s="4"/>
      <c r="L77" s="28"/>
      <c r="M77" s="13" t="str">
        <f>IFERROR(VLOOKUP(L77,enum!F$4:N$30,9,FALSE),"")</f>
        <v/>
      </c>
      <c r="N77" s="4"/>
      <c r="O77" s="4"/>
      <c r="P77" s="4"/>
      <c r="Q77" s="4"/>
      <c r="R77" s="4"/>
      <c r="S77" s="4"/>
      <c r="T77" s="7"/>
    </row>
    <row r="78" spans="2:20" s="2" customFormat="1" x14ac:dyDescent="0.15">
      <c r="B78" s="26"/>
      <c r="C78" s="4"/>
      <c r="D78" s="4" t="str">
        <f>IFERROR(VLOOKUP(C78,enum!B$4:N$30,13,FALSE),"")</f>
        <v/>
      </c>
      <c r="E78" s="4"/>
      <c r="F78" s="4"/>
      <c r="G78" s="4"/>
      <c r="H78" s="4"/>
      <c r="I78" s="4"/>
      <c r="J78" s="5" t="str">
        <f>IFERROR(VLOOKUP(I78,enum!D$4:N$30,11,FALSE),"")</f>
        <v/>
      </c>
      <c r="K78" s="4"/>
      <c r="L78" s="28"/>
      <c r="M78" s="13" t="str">
        <f>IFERROR(VLOOKUP(L78,enum!F$4:N$30,9,FALSE),"")</f>
        <v/>
      </c>
      <c r="N78" s="4"/>
      <c r="O78" s="4"/>
      <c r="P78" s="4"/>
      <c r="Q78" s="4"/>
      <c r="R78" s="4"/>
      <c r="S78" s="4"/>
      <c r="T78" s="7"/>
    </row>
    <row r="79" spans="2:20" s="2" customFormat="1" x14ac:dyDescent="0.15">
      <c r="B79" s="26"/>
      <c r="C79" s="4"/>
      <c r="D79" s="4" t="str">
        <f>IFERROR(VLOOKUP(C79,enum!B$4:N$30,13,FALSE),"")</f>
        <v/>
      </c>
      <c r="E79" s="4"/>
      <c r="F79" s="4"/>
      <c r="G79" s="4"/>
      <c r="H79" s="4"/>
      <c r="I79" s="4"/>
      <c r="J79" s="5" t="str">
        <f>IFERROR(VLOOKUP(I79,enum!D$4:N$30,11,FALSE),"")</f>
        <v/>
      </c>
      <c r="K79" s="4"/>
      <c r="L79" s="28"/>
      <c r="M79" s="13" t="str">
        <f>IFERROR(VLOOKUP(L79,enum!F$4:N$30,9,FALSE),"")</f>
        <v/>
      </c>
      <c r="N79" s="4"/>
      <c r="O79" s="4"/>
      <c r="P79" s="4"/>
      <c r="Q79" s="4"/>
      <c r="R79" s="4"/>
      <c r="S79" s="4"/>
      <c r="T79" s="7"/>
    </row>
    <row r="80" spans="2:20" s="2" customFormat="1" x14ac:dyDescent="0.15">
      <c r="B80" s="26"/>
      <c r="C80" s="4"/>
      <c r="D80" s="4" t="str">
        <f>IFERROR(VLOOKUP(C80,enum!B$4:N$30,13,FALSE),"")</f>
        <v/>
      </c>
      <c r="E80" s="4"/>
      <c r="F80" s="4"/>
      <c r="G80" s="4"/>
      <c r="H80" s="4"/>
      <c r="I80" s="4"/>
      <c r="J80" s="5" t="str">
        <f>IFERROR(VLOOKUP(I80,enum!D$4:N$30,11,FALSE),"")</f>
        <v/>
      </c>
      <c r="K80" s="4"/>
      <c r="L80" s="28"/>
      <c r="M80" s="13" t="str">
        <f>IFERROR(VLOOKUP(L80,enum!F$4:N$30,9,FALSE),"")</f>
        <v/>
      </c>
      <c r="N80" s="4"/>
      <c r="O80" s="4"/>
      <c r="P80" s="4"/>
      <c r="Q80" s="4"/>
      <c r="R80" s="4"/>
      <c r="S80" s="4"/>
      <c r="T80" s="7"/>
    </row>
    <row r="81" spans="2:20" s="2" customFormat="1" x14ac:dyDescent="0.15">
      <c r="B81" s="26"/>
      <c r="C81" s="4"/>
      <c r="D81" s="4" t="str">
        <f>IFERROR(VLOOKUP(C81,enum!B$4:N$30,13,FALSE),"")</f>
        <v/>
      </c>
      <c r="E81" s="4"/>
      <c r="F81" s="4"/>
      <c r="G81" s="4"/>
      <c r="H81" s="4"/>
      <c r="I81" s="4"/>
      <c r="J81" s="5" t="str">
        <f>IFERROR(VLOOKUP(I81,enum!D$4:N$30,11,FALSE),"")</f>
        <v/>
      </c>
      <c r="K81" s="4"/>
      <c r="L81" s="28"/>
      <c r="M81" s="13" t="str">
        <f>IFERROR(VLOOKUP(L81,enum!F$4:N$30,9,FALSE),"")</f>
        <v/>
      </c>
      <c r="N81" s="4"/>
      <c r="O81" s="4"/>
      <c r="P81" s="4"/>
      <c r="Q81" s="4"/>
      <c r="R81" s="4"/>
      <c r="S81" s="4"/>
      <c r="T81" s="7"/>
    </row>
    <row r="82" spans="2:20" s="2" customFormat="1" x14ac:dyDescent="0.15">
      <c r="B82" s="26"/>
      <c r="C82" s="4"/>
      <c r="D82" s="4" t="str">
        <f>IFERROR(VLOOKUP(C82,enum!B$4:N$30,13,FALSE),"")</f>
        <v/>
      </c>
      <c r="E82" s="4"/>
      <c r="F82" s="4"/>
      <c r="G82" s="4"/>
      <c r="H82" s="4"/>
      <c r="I82" s="4"/>
      <c r="J82" s="5" t="str">
        <f>IFERROR(VLOOKUP(I82,enum!D$4:N$30,11,FALSE),"")</f>
        <v/>
      </c>
      <c r="K82" s="4"/>
      <c r="L82" s="28"/>
      <c r="M82" s="13" t="str">
        <f>IFERROR(VLOOKUP(L82,enum!F$4:N$30,9,FALSE),"")</f>
        <v/>
      </c>
      <c r="N82" s="4"/>
      <c r="O82" s="4"/>
      <c r="P82" s="4"/>
      <c r="Q82" s="4"/>
      <c r="R82" s="4"/>
      <c r="S82" s="4"/>
      <c r="T82" s="7"/>
    </row>
    <row r="83" spans="2:20" s="2" customFormat="1" x14ac:dyDescent="0.15">
      <c r="B83" s="26"/>
      <c r="C83" s="4"/>
      <c r="D83" s="4" t="str">
        <f>IFERROR(VLOOKUP(C83,enum!B$4:N$30,13,FALSE),"")</f>
        <v/>
      </c>
      <c r="E83" s="4"/>
      <c r="F83" s="4"/>
      <c r="G83" s="4"/>
      <c r="H83" s="4"/>
      <c r="I83" s="4"/>
      <c r="J83" s="5" t="str">
        <f>IFERROR(VLOOKUP(I83,enum!D$4:N$30,11,FALSE),"")</f>
        <v/>
      </c>
      <c r="K83" s="4"/>
      <c r="L83" s="28"/>
      <c r="M83" s="13" t="str">
        <f>IFERROR(VLOOKUP(L83,enum!F$4:N$30,9,FALSE),"")</f>
        <v/>
      </c>
      <c r="N83" s="4"/>
      <c r="O83" s="4"/>
      <c r="P83" s="4"/>
      <c r="Q83" s="4"/>
      <c r="R83" s="4"/>
      <c r="S83" s="4"/>
      <c r="T83" s="7"/>
    </row>
    <row r="84" spans="2:20" s="2" customFormat="1" x14ac:dyDescent="0.15">
      <c r="B84" s="26"/>
      <c r="C84" s="4"/>
      <c r="D84" s="4" t="str">
        <f>IFERROR(VLOOKUP(C84,enum!B$4:N$30,13,FALSE),"")</f>
        <v/>
      </c>
      <c r="E84" s="4"/>
      <c r="F84" s="4"/>
      <c r="G84" s="4"/>
      <c r="H84" s="4"/>
      <c r="I84" s="4"/>
      <c r="J84" s="5" t="str">
        <f>IFERROR(VLOOKUP(I84,enum!D$4:N$30,11,FALSE),"")</f>
        <v/>
      </c>
      <c r="K84" s="4"/>
      <c r="L84" s="28"/>
      <c r="M84" s="13" t="str">
        <f>IFERROR(VLOOKUP(L84,enum!F$4:N$30,9,FALSE),"")</f>
        <v/>
      </c>
      <c r="N84" s="4"/>
      <c r="O84" s="4"/>
      <c r="P84" s="4"/>
      <c r="Q84" s="4"/>
      <c r="R84" s="4"/>
      <c r="S84" s="4"/>
      <c r="T84" s="7"/>
    </row>
    <row r="85" spans="2:20" s="2" customFormat="1" x14ac:dyDescent="0.15">
      <c r="B85" s="26"/>
      <c r="C85" s="4"/>
      <c r="D85" s="4" t="str">
        <f>IFERROR(VLOOKUP(C85,enum!B$4:N$30,13,FALSE),"")</f>
        <v/>
      </c>
      <c r="E85" s="4"/>
      <c r="F85" s="4"/>
      <c r="G85" s="4"/>
      <c r="H85" s="4"/>
      <c r="I85" s="4"/>
      <c r="J85" s="5" t="str">
        <f>IFERROR(VLOOKUP(I85,enum!D$4:N$30,11,FALSE),"")</f>
        <v/>
      </c>
      <c r="K85" s="4"/>
      <c r="L85" s="28"/>
      <c r="M85" s="13" t="str">
        <f>IFERROR(VLOOKUP(L85,enum!F$4:N$30,9,FALSE),"")</f>
        <v/>
      </c>
      <c r="N85" s="4"/>
      <c r="O85" s="4"/>
      <c r="P85" s="4"/>
      <c r="Q85" s="4"/>
      <c r="R85" s="4"/>
      <c r="S85" s="4"/>
      <c r="T85" s="7"/>
    </row>
    <row r="86" spans="2:20" s="2" customFormat="1" x14ac:dyDescent="0.15">
      <c r="B86" s="26"/>
      <c r="C86" s="4"/>
      <c r="D86" s="4" t="str">
        <f>IFERROR(VLOOKUP(C86,enum!B$4:N$30,13,FALSE),"")</f>
        <v/>
      </c>
      <c r="E86" s="4"/>
      <c r="F86" s="4"/>
      <c r="G86" s="4"/>
      <c r="H86" s="4"/>
      <c r="I86" s="4"/>
      <c r="J86" s="5" t="str">
        <f>IFERROR(VLOOKUP(I86,enum!D$4:N$30,11,FALSE),"")</f>
        <v/>
      </c>
      <c r="K86" s="4"/>
      <c r="L86" s="28"/>
      <c r="M86" s="13" t="str">
        <f>IFERROR(VLOOKUP(L86,enum!F$4:N$30,9,FALSE),"")</f>
        <v/>
      </c>
      <c r="N86" s="4"/>
      <c r="O86" s="4"/>
      <c r="P86" s="4"/>
      <c r="Q86" s="4"/>
      <c r="R86" s="4"/>
      <c r="S86" s="4"/>
      <c r="T86" s="7"/>
    </row>
    <row r="87" spans="2:20" s="2" customFormat="1" x14ac:dyDescent="0.15">
      <c r="B87" s="26"/>
      <c r="C87" s="4"/>
      <c r="D87" s="4" t="str">
        <f>IFERROR(VLOOKUP(C87,enum!B$4:N$30,13,FALSE),"")</f>
        <v/>
      </c>
      <c r="E87" s="4"/>
      <c r="F87" s="4"/>
      <c r="G87" s="4"/>
      <c r="H87" s="4"/>
      <c r="I87" s="4"/>
      <c r="J87" s="5" t="str">
        <f>IFERROR(VLOOKUP(I87,enum!D$4:N$30,11,FALSE),"")</f>
        <v/>
      </c>
      <c r="K87" s="4"/>
      <c r="L87" s="28"/>
      <c r="M87" s="13" t="str">
        <f>IFERROR(VLOOKUP(L87,enum!F$4:N$30,9,FALSE),"")</f>
        <v/>
      </c>
      <c r="N87" s="4"/>
      <c r="O87" s="4"/>
      <c r="P87" s="4"/>
      <c r="Q87" s="4"/>
      <c r="R87" s="4"/>
      <c r="S87" s="4"/>
      <c r="T87" s="7"/>
    </row>
    <row r="88" spans="2:20" s="2" customFormat="1" x14ac:dyDescent="0.15">
      <c r="B88" s="26"/>
      <c r="C88" s="4"/>
      <c r="D88" s="4" t="str">
        <f>IFERROR(VLOOKUP(C88,enum!B$4:N$30,13,FALSE),"")</f>
        <v/>
      </c>
      <c r="E88" s="4"/>
      <c r="F88" s="4"/>
      <c r="G88" s="4"/>
      <c r="H88" s="4"/>
      <c r="I88" s="4"/>
      <c r="J88" s="5" t="str">
        <f>IFERROR(VLOOKUP(I88,enum!D$4:N$30,11,FALSE),"")</f>
        <v/>
      </c>
      <c r="K88" s="4"/>
      <c r="L88" s="28"/>
      <c r="M88" s="13" t="str">
        <f>IFERROR(VLOOKUP(L88,enum!F$4:N$30,9,FALSE),"")</f>
        <v/>
      </c>
      <c r="N88" s="4"/>
      <c r="O88" s="4"/>
      <c r="P88" s="4"/>
      <c r="Q88" s="4"/>
      <c r="R88" s="4"/>
      <c r="S88" s="4"/>
      <c r="T88" s="7"/>
    </row>
    <row r="89" spans="2:20" s="2" customFormat="1" x14ac:dyDescent="0.15">
      <c r="B89" s="26"/>
      <c r="C89" s="4"/>
      <c r="D89" s="4" t="str">
        <f>IFERROR(VLOOKUP(C89,enum!B$4:N$30,13,FALSE),"")</f>
        <v/>
      </c>
      <c r="E89" s="4"/>
      <c r="F89" s="4"/>
      <c r="G89" s="4"/>
      <c r="H89" s="4"/>
      <c r="I89" s="4"/>
      <c r="J89" s="5" t="str">
        <f>IFERROR(VLOOKUP(I89,enum!D$4:N$30,11,FALSE),"")</f>
        <v/>
      </c>
      <c r="K89" s="4"/>
      <c r="L89" s="28"/>
      <c r="M89" s="13" t="str">
        <f>IFERROR(VLOOKUP(L89,enum!F$4:N$30,9,FALSE),"")</f>
        <v/>
      </c>
      <c r="N89" s="4"/>
      <c r="O89" s="4"/>
      <c r="P89" s="4"/>
      <c r="Q89" s="4"/>
      <c r="R89" s="4"/>
      <c r="S89" s="4"/>
      <c r="T89" s="7"/>
    </row>
    <row r="90" spans="2:20" s="2" customFormat="1" x14ac:dyDescent="0.15">
      <c r="B90" s="26"/>
      <c r="C90" s="4"/>
      <c r="D90" s="4" t="str">
        <f>IFERROR(VLOOKUP(C90,enum!B$4:N$30,13,FALSE),"")</f>
        <v/>
      </c>
      <c r="E90" s="4"/>
      <c r="F90" s="4"/>
      <c r="G90" s="4"/>
      <c r="H90" s="4"/>
      <c r="I90" s="4"/>
      <c r="J90" s="5" t="str">
        <f>IFERROR(VLOOKUP(I90,enum!D$4:N$30,11,FALSE),"")</f>
        <v/>
      </c>
      <c r="K90" s="4"/>
      <c r="L90" s="28"/>
      <c r="M90" s="13" t="str">
        <f>IFERROR(VLOOKUP(L90,enum!F$4:N$30,9,FALSE),"")</f>
        <v/>
      </c>
      <c r="N90" s="4"/>
      <c r="O90" s="4"/>
      <c r="P90" s="4"/>
      <c r="Q90" s="4"/>
      <c r="R90" s="4"/>
      <c r="S90" s="4"/>
      <c r="T90" s="7"/>
    </row>
    <row r="91" spans="2:20" s="2" customFormat="1" x14ac:dyDescent="0.15">
      <c r="B91" s="26"/>
      <c r="C91" s="4"/>
      <c r="D91" s="4" t="str">
        <f>IFERROR(VLOOKUP(C91,enum!B$4:N$30,13,FALSE),"")</f>
        <v/>
      </c>
      <c r="E91" s="4"/>
      <c r="F91" s="4"/>
      <c r="G91" s="4"/>
      <c r="H91" s="4"/>
      <c r="I91" s="4"/>
      <c r="J91" s="5" t="str">
        <f>IFERROR(VLOOKUP(I91,enum!D$4:N$30,11,FALSE),"")</f>
        <v/>
      </c>
      <c r="K91" s="4"/>
      <c r="L91" s="28"/>
      <c r="M91" s="13" t="str">
        <f>IFERROR(VLOOKUP(L91,enum!F$4:N$30,9,FALSE),"")</f>
        <v/>
      </c>
      <c r="N91" s="4"/>
      <c r="O91" s="4"/>
      <c r="P91" s="4"/>
      <c r="Q91" s="4"/>
      <c r="R91" s="4"/>
      <c r="S91" s="4"/>
      <c r="T91" s="7"/>
    </row>
    <row r="92" spans="2:20" s="2" customFormat="1" x14ac:dyDescent="0.15">
      <c r="B92" s="26"/>
      <c r="C92" s="4"/>
      <c r="D92" s="4" t="str">
        <f>IFERROR(VLOOKUP(C92,enum!B$4:N$30,13,FALSE),"")</f>
        <v/>
      </c>
      <c r="E92" s="4"/>
      <c r="F92" s="4"/>
      <c r="G92" s="4"/>
      <c r="H92" s="4"/>
      <c r="I92" s="4"/>
      <c r="J92" s="5" t="str">
        <f>IFERROR(VLOOKUP(I92,enum!D$4:N$30,11,FALSE),"")</f>
        <v/>
      </c>
      <c r="K92" s="4"/>
      <c r="L92" s="28"/>
      <c r="M92" s="13" t="str">
        <f>IFERROR(VLOOKUP(L92,enum!F$4:N$30,9,FALSE),"")</f>
        <v/>
      </c>
      <c r="N92" s="4"/>
      <c r="O92" s="4"/>
      <c r="P92" s="4"/>
      <c r="Q92" s="4"/>
      <c r="R92" s="4"/>
      <c r="S92" s="4"/>
      <c r="T92" s="7"/>
    </row>
    <row r="93" spans="2:20" s="2" customFormat="1" x14ac:dyDescent="0.15">
      <c r="B93" s="26"/>
      <c r="C93" s="4"/>
      <c r="D93" s="4" t="str">
        <f>IFERROR(VLOOKUP(C93,enum!B$4:N$30,13,FALSE),"")</f>
        <v/>
      </c>
      <c r="E93" s="4"/>
      <c r="F93" s="4"/>
      <c r="G93" s="4"/>
      <c r="H93" s="4"/>
      <c r="I93" s="4"/>
      <c r="J93" s="5" t="str">
        <f>IFERROR(VLOOKUP(I93,enum!D$4:N$30,11,FALSE),"")</f>
        <v/>
      </c>
      <c r="K93" s="4"/>
      <c r="L93" s="28"/>
      <c r="M93" s="13" t="str">
        <f>IFERROR(VLOOKUP(L93,enum!F$4:N$30,9,FALSE),"")</f>
        <v/>
      </c>
      <c r="N93" s="4"/>
      <c r="O93" s="4"/>
      <c r="P93" s="4"/>
      <c r="Q93" s="4"/>
      <c r="R93" s="4"/>
      <c r="S93" s="4"/>
      <c r="T93" s="7"/>
    </row>
    <row r="94" spans="2:20" s="2" customFormat="1" x14ac:dyDescent="0.15">
      <c r="B94" s="26"/>
      <c r="C94" s="4"/>
      <c r="D94" s="4" t="str">
        <f>IFERROR(VLOOKUP(C94,enum!B$4:N$30,13,FALSE),"")</f>
        <v/>
      </c>
      <c r="E94" s="4"/>
      <c r="F94" s="4"/>
      <c r="G94" s="4"/>
      <c r="H94" s="4"/>
      <c r="I94" s="4"/>
      <c r="J94" s="5" t="str">
        <f>IFERROR(VLOOKUP(I94,enum!D$4:N$30,11,FALSE),"")</f>
        <v/>
      </c>
      <c r="K94" s="4"/>
      <c r="L94" s="28"/>
      <c r="M94" s="13" t="str">
        <f>IFERROR(VLOOKUP(L94,enum!F$4:N$30,9,FALSE),"")</f>
        <v/>
      </c>
      <c r="N94" s="4"/>
      <c r="O94" s="4"/>
      <c r="P94" s="4"/>
      <c r="Q94" s="4"/>
      <c r="R94" s="4"/>
      <c r="S94" s="4"/>
      <c r="T94" s="7"/>
    </row>
    <row r="95" spans="2:20" s="2" customFormat="1" x14ac:dyDescent="0.15">
      <c r="B95" s="26"/>
      <c r="C95" s="4"/>
      <c r="D95" s="4" t="str">
        <f>IFERROR(VLOOKUP(C95,enum!B$4:N$30,13,FALSE),"")</f>
        <v/>
      </c>
      <c r="E95" s="4"/>
      <c r="F95" s="4"/>
      <c r="G95" s="4"/>
      <c r="H95" s="4"/>
      <c r="I95" s="4"/>
      <c r="J95" s="5" t="str">
        <f>IFERROR(VLOOKUP(I95,enum!D$4:N$30,11,FALSE),"")</f>
        <v/>
      </c>
      <c r="K95" s="4"/>
      <c r="L95" s="28"/>
      <c r="M95" s="13" t="str">
        <f>IFERROR(VLOOKUP(L95,enum!F$4:N$30,9,FALSE),"")</f>
        <v/>
      </c>
      <c r="N95" s="4"/>
      <c r="O95" s="4"/>
      <c r="P95" s="4"/>
      <c r="Q95" s="4"/>
      <c r="R95" s="4"/>
      <c r="S95" s="4"/>
      <c r="T95" s="7"/>
    </row>
    <row r="96" spans="2:20" s="2" customFormat="1" x14ac:dyDescent="0.15">
      <c r="B96" s="26"/>
      <c r="C96" s="4"/>
      <c r="D96" s="4" t="str">
        <f>IFERROR(VLOOKUP(C96,enum!B$4:N$30,13,FALSE),"")</f>
        <v/>
      </c>
      <c r="E96" s="4"/>
      <c r="F96" s="4"/>
      <c r="G96" s="4"/>
      <c r="H96" s="4"/>
      <c r="I96" s="4"/>
      <c r="J96" s="5" t="str">
        <f>IFERROR(VLOOKUP(I96,enum!D$4:N$30,11,FALSE),"")</f>
        <v/>
      </c>
      <c r="K96" s="4"/>
      <c r="L96" s="28"/>
      <c r="M96" s="13" t="str">
        <f>IFERROR(VLOOKUP(L96,enum!F$4:N$30,9,FALSE),"")</f>
        <v/>
      </c>
      <c r="N96" s="4"/>
      <c r="O96" s="4"/>
      <c r="P96" s="4"/>
      <c r="Q96" s="4"/>
      <c r="R96" s="4"/>
      <c r="S96" s="4"/>
      <c r="T96" s="7"/>
    </row>
    <row r="97" spans="2:20" s="2" customFormat="1" x14ac:dyDescent="0.15">
      <c r="B97" s="26"/>
      <c r="C97" s="4"/>
      <c r="D97" s="4" t="str">
        <f>IFERROR(VLOOKUP(C97,enum!B$4:N$30,13,FALSE),"")</f>
        <v/>
      </c>
      <c r="E97" s="4"/>
      <c r="F97" s="4"/>
      <c r="G97" s="4"/>
      <c r="H97" s="4"/>
      <c r="I97" s="4"/>
      <c r="J97" s="5" t="str">
        <f>IFERROR(VLOOKUP(I97,enum!D$4:N$30,11,FALSE),"")</f>
        <v/>
      </c>
      <c r="K97" s="4"/>
      <c r="L97" s="28"/>
      <c r="M97" s="13" t="str">
        <f>IFERROR(VLOOKUP(L97,enum!F$4:N$30,9,FALSE),"")</f>
        <v/>
      </c>
      <c r="N97" s="4"/>
      <c r="O97" s="4"/>
      <c r="P97" s="4"/>
      <c r="Q97" s="4"/>
      <c r="R97" s="4"/>
      <c r="S97" s="4"/>
      <c r="T97" s="7"/>
    </row>
    <row r="98" spans="2:20" s="2" customFormat="1" x14ac:dyDescent="0.15">
      <c r="B98" s="26"/>
      <c r="C98" s="4"/>
      <c r="D98" s="4" t="str">
        <f>IFERROR(VLOOKUP(C98,enum!B$4:N$30,13,FALSE),"")</f>
        <v/>
      </c>
      <c r="E98" s="4"/>
      <c r="F98" s="4"/>
      <c r="G98" s="4"/>
      <c r="H98" s="4"/>
      <c r="I98" s="4"/>
      <c r="J98" s="5" t="str">
        <f>IFERROR(VLOOKUP(I98,enum!D$4:N$30,11,FALSE),"")</f>
        <v/>
      </c>
      <c r="K98" s="4"/>
      <c r="L98" s="28"/>
      <c r="M98" s="13" t="str">
        <f>IFERROR(VLOOKUP(L98,enum!F$4:N$30,9,FALSE),"")</f>
        <v/>
      </c>
      <c r="N98" s="4"/>
      <c r="O98" s="4"/>
      <c r="P98" s="4"/>
      <c r="Q98" s="4"/>
      <c r="R98" s="4"/>
      <c r="S98" s="4"/>
      <c r="T98" s="7"/>
    </row>
    <row r="99" spans="2:20" s="2" customFormat="1" x14ac:dyDescent="0.15">
      <c r="B99" s="26"/>
      <c r="C99" s="4"/>
      <c r="D99" s="4" t="str">
        <f>IFERROR(VLOOKUP(C99,enum!B$4:N$30,13,FALSE),"")</f>
        <v/>
      </c>
      <c r="E99" s="4"/>
      <c r="F99" s="4"/>
      <c r="G99" s="4"/>
      <c r="H99" s="4"/>
      <c r="I99" s="4"/>
      <c r="J99" s="5" t="str">
        <f>IFERROR(VLOOKUP(I99,enum!D$4:N$30,11,FALSE),"")</f>
        <v/>
      </c>
      <c r="K99" s="4"/>
      <c r="L99" s="28"/>
      <c r="M99" s="13" t="str">
        <f>IFERROR(VLOOKUP(L99,enum!F$4:N$30,9,FALSE),"")</f>
        <v/>
      </c>
      <c r="N99" s="4"/>
      <c r="O99" s="4"/>
      <c r="P99" s="4"/>
      <c r="Q99" s="4"/>
      <c r="R99" s="4"/>
      <c r="S99" s="4"/>
      <c r="T99" s="7"/>
    </row>
    <row r="100" spans="2:20" s="2" customFormat="1" x14ac:dyDescent="0.15">
      <c r="B100" s="26"/>
      <c r="C100" s="4"/>
      <c r="D100" s="4" t="str">
        <f>IFERROR(VLOOKUP(C100,enum!B$4:N$30,13,FALSE),"")</f>
        <v/>
      </c>
      <c r="E100" s="4"/>
      <c r="F100" s="4"/>
      <c r="G100" s="4"/>
      <c r="H100" s="4"/>
      <c r="I100" s="4"/>
      <c r="J100" s="5" t="str">
        <f>IFERROR(VLOOKUP(I100,enum!D$4:N$30,11,FALSE),"")</f>
        <v/>
      </c>
      <c r="K100" s="4"/>
      <c r="L100" s="28"/>
      <c r="M100" s="13" t="str">
        <f>IFERROR(VLOOKUP(L100,enum!F$4:N$30,9,FALSE),"")</f>
        <v/>
      </c>
      <c r="N100" s="4"/>
      <c r="O100" s="4"/>
      <c r="P100" s="4"/>
      <c r="Q100" s="4"/>
      <c r="R100" s="4"/>
      <c r="S100" s="4"/>
      <c r="T100" s="7"/>
    </row>
    <row r="101" spans="2:20" s="2" customFormat="1" x14ac:dyDescent="0.15">
      <c r="B101" s="26"/>
      <c r="C101" s="4"/>
      <c r="D101" s="4" t="str">
        <f>IFERROR(VLOOKUP(C101,enum!B$4:N$30,13,FALSE),"")</f>
        <v/>
      </c>
      <c r="E101" s="4"/>
      <c r="F101" s="4"/>
      <c r="G101" s="4"/>
      <c r="H101" s="4"/>
      <c r="I101" s="4"/>
      <c r="J101" s="5" t="str">
        <f>IFERROR(VLOOKUP(I101,enum!D$4:N$30,11,FALSE),"")</f>
        <v/>
      </c>
      <c r="K101" s="4"/>
      <c r="L101" s="28"/>
      <c r="M101" s="13" t="str">
        <f>IFERROR(VLOOKUP(L101,enum!F$4:N$30,9,FALSE),"")</f>
        <v/>
      </c>
      <c r="N101" s="4"/>
      <c r="O101" s="4"/>
      <c r="P101" s="4"/>
      <c r="Q101" s="4"/>
      <c r="R101" s="4"/>
      <c r="S101" s="4"/>
      <c r="T101" s="7"/>
    </row>
    <row r="102" spans="2:20" s="2" customFormat="1" x14ac:dyDescent="0.15">
      <c r="B102" s="26"/>
      <c r="C102" s="4"/>
      <c r="D102" s="4" t="str">
        <f>IFERROR(VLOOKUP(C102,enum!B$4:N$30,13,FALSE),"")</f>
        <v/>
      </c>
      <c r="E102" s="4"/>
      <c r="F102" s="4"/>
      <c r="G102" s="4"/>
      <c r="H102" s="4"/>
      <c r="I102" s="4"/>
      <c r="J102" s="5" t="str">
        <f>IFERROR(VLOOKUP(I102,enum!D$4:N$30,11,FALSE),"")</f>
        <v/>
      </c>
      <c r="K102" s="4"/>
      <c r="L102" s="28"/>
      <c r="M102" s="13" t="str">
        <f>IFERROR(VLOOKUP(L102,enum!F$4:N$30,9,FALSE),"")</f>
        <v/>
      </c>
      <c r="N102" s="4"/>
      <c r="O102" s="4"/>
      <c r="P102" s="4"/>
      <c r="Q102" s="4"/>
      <c r="R102" s="4"/>
      <c r="S102" s="4"/>
      <c r="T102" s="7"/>
    </row>
    <row r="103" spans="2:20" s="2" customFormat="1" x14ac:dyDescent="0.15">
      <c r="B103" s="26"/>
      <c r="C103" s="4"/>
      <c r="D103" s="4" t="str">
        <f>IFERROR(VLOOKUP(C103,enum!B$4:N$30,13,FALSE),"")</f>
        <v/>
      </c>
      <c r="E103" s="4"/>
      <c r="F103" s="4"/>
      <c r="G103" s="4"/>
      <c r="H103" s="4"/>
      <c r="I103" s="4"/>
      <c r="J103" s="5" t="str">
        <f>IFERROR(VLOOKUP(I103,enum!D$4:N$30,11,FALSE),"")</f>
        <v/>
      </c>
      <c r="K103" s="4"/>
      <c r="L103" s="28"/>
      <c r="M103" s="13" t="str">
        <f>IFERROR(VLOOKUP(L103,enum!F$4:N$30,9,FALSE),"")</f>
        <v/>
      </c>
      <c r="N103" s="4"/>
      <c r="O103" s="4"/>
      <c r="P103" s="4"/>
      <c r="Q103" s="4"/>
      <c r="R103" s="4"/>
      <c r="S103" s="4"/>
      <c r="T103" s="7"/>
    </row>
    <row r="104" spans="2:20" s="2" customFormat="1" ht="14.25" thickBot="1" x14ac:dyDescent="0.2">
      <c r="B104" s="30"/>
      <c r="C104" s="31"/>
      <c r="D104" s="31" t="str">
        <f>IFERROR(VLOOKUP(C104,enum!B$4:N$30,13,FALSE),"")</f>
        <v/>
      </c>
      <c r="E104" s="31"/>
      <c r="F104" s="31"/>
      <c r="G104" s="31"/>
      <c r="H104" s="31"/>
      <c r="I104" s="31"/>
      <c r="J104" s="32" t="str">
        <f>IFERROR(VLOOKUP(I104,enum!D$4:N$30,11,FALSE),"")</f>
        <v/>
      </c>
      <c r="K104" s="31"/>
      <c r="L104" s="33"/>
      <c r="M104" s="13" t="str">
        <f>IFERROR(VLOOKUP(L104,enum!F$4:N$30,9,FALSE),"")</f>
        <v/>
      </c>
      <c r="N104" s="4"/>
      <c r="O104" s="4"/>
      <c r="P104" s="4"/>
      <c r="Q104" s="4"/>
      <c r="R104" s="4"/>
      <c r="S104" s="4"/>
      <c r="T104" s="7"/>
    </row>
  </sheetData>
  <mergeCells count="1">
    <mergeCell ref="B2:C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SV_SAVE_ENEMY">
                <anchor moveWithCells="1" sizeWithCells="1">
                  <from>
                    <xdr:col>4</xdr:col>
                    <xdr:colOff>209550</xdr:colOff>
                    <xdr:row>1</xdr:row>
                    <xdr:rowOff>19050</xdr:rowOff>
                  </from>
                  <to>
                    <xdr:col>11</xdr:col>
                    <xdr:colOff>352425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enum!$B$4:$B$13</xm:f>
          </x14:formula1>
          <xm:sqref>C6:C104</xm:sqref>
        </x14:dataValidation>
        <x14:dataValidation type="list" allowBlank="1" showInputMessage="1" showErrorMessage="1">
          <x14:formula1>
            <xm:f>enum!$D$4:$D$13</xm:f>
          </x14:formula1>
          <xm:sqref>I6:I104</xm:sqref>
        </x14:dataValidation>
        <x14:dataValidation type="list" allowBlank="1" showInputMessage="1" showErrorMessage="1">
          <x14:formula1>
            <xm:f>enum!$F$4:$F$30</xm:f>
          </x14:formula1>
          <xm:sqref>L6:L104</xm:sqref>
        </x14:dataValidation>
        <x14:dataValidation type="list" allowBlank="1" showInputMessage="1" showErrorMessage="1">
          <x14:formula1>
            <xm:f>enum!$J$4:$J$6</xm:f>
          </x14:formula1>
          <xm:sqref>R6:R104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N30"/>
  <sheetViews>
    <sheetView zoomScale="160" zoomScaleNormal="160" workbookViewId="0">
      <selection activeCell="F23" sqref="F23"/>
    </sheetView>
  </sheetViews>
  <sheetFormatPr defaultRowHeight="13.5" x14ac:dyDescent="0.15"/>
  <cols>
    <col min="1" max="1" width="2.25" customWidth="1"/>
    <col min="2" max="2" width="13.25" customWidth="1"/>
    <col min="3" max="3" width="1.625" customWidth="1"/>
    <col min="5" max="5" width="1.625" customWidth="1"/>
    <col min="7" max="7" width="1.625" customWidth="1"/>
    <col min="9" max="9" width="1.625" customWidth="1"/>
    <col min="10" max="10" width="10.625" customWidth="1"/>
    <col min="11" max="11" width="1.625" customWidth="1"/>
    <col min="13" max="13" width="1.75" customWidth="1"/>
    <col min="14" max="14" width="3.25" customWidth="1"/>
  </cols>
  <sheetData>
    <row r="3" spans="2:14" s="1" customFormat="1" ht="26.25" customHeight="1" x14ac:dyDescent="0.15">
      <c r="B3" s="1" t="s">
        <v>18</v>
      </c>
      <c r="D3" s="1" t="s">
        <v>6</v>
      </c>
      <c r="F3" s="1" t="s">
        <v>17</v>
      </c>
    </row>
    <row r="4" spans="2:14" x14ac:dyDescent="0.15">
      <c r="B4" t="s">
        <v>3</v>
      </c>
      <c r="D4" t="s">
        <v>7</v>
      </c>
      <c r="F4" t="s">
        <v>19</v>
      </c>
      <c r="N4">
        <v>0</v>
      </c>
    </row>
    <row r="5" spans="2:14" x14ac:dyDescent="0.15">
      <c r="B5" t="s">
        <v>5</v>
      </c>
      <c r="D5" t="s">
        <v>8</v>
      </c>
      <c r="F5" t="s">
        <v>8</v>
      </c>
      <c r="N5">
        <v>1</v>
      </c>
    </row>
    <row r="6" spans="2:14" x14ac:dyDescent="0.15">
      <c r="F6" t="s">
        <v>23</v>
      </c>
      <c r="N6">
        <v>2</v>
      </c>
    </row>
    <row r="7" spans="2:14" x14ac:dyDescent="0.15">
      <c r="N7">
        <v>3</v>
      </c>
    </row>
    <row r="8" spans="2:14" x14ac:dyDescent="0.15">
      <c r="N8">
        <v>4</v>
      </c>
    </row>
    <row r="9" spans="2:14" x14ac:dyDescent="0.15">
      <c r="N9">
        <v>5</v>
      </c>
    </row>
    <row r="10" spans="2:14" x14ac:dyDescent="0.15">
      <c r="N10">
        <v>6</v>
      </c>
    </row>
    <row r="11" spans="2:14" x14ac:dyDescent="0.15">
      <c r="N11">
        <v>7</v>
      </c>
    </row>
    <row r="12" spans="2:14" x14ac:dyDescent="0.15">
      <c r="N12">
        <v>8</v>
      </c>
    </row>
    <row r="13" spans="2:14" x14ac:dyDescent="0.15">
      <c r="N13">
        <v>9</v>
      </c>
    </row>
    <row r="14" spans="2:14" x14ac:dyDescent="0.15">
      <c r="N14">
        <v>10</v>
      </c>
    </row>
    <row r="15" spans="2:14" x14ac:dyDescent="0.15">
      <c r="N15">
        <v>11</v>
      </c>
    </row>
    <row r="16" spans="2:14" x14ac:dyDescent="0.15">
      <c r="N16">
        <v>12</v>
      </c>
    </row>
    <row r="17" spans="14:14" x14ac:dyDescent="0.15">
      <c r="N17">
        <v>13</v>
      </c>
    </row>
    <row r="18" spans="14:14" x14ac:dyDescent="0.15">
      <c r="N18">
        <v>14</v>
      </c>
    </row>
    <row r="19" spans="14:14" x14ac:dyDescent="0.15">
      <c r="N19">
        <v>15</v>
      </c>
    </row>
    <row r="20" spans="14:14" x14ac:dyDescent="0.15">
      <c r="N20">
        <v>16</v>
      </c>
    </row>
    <row r="21" spans="14:14" x14ac:dyDescent="0.15">
      <c r="N21">
        <v>17</v>
      </c>
    </row>
    <row r="22" spans="14:14" x14ac:dyDescent="0.15">
      <c r="N22">
        <v>18</v>
      </c>
    </row>
    <row r="23" spans="14:14" x14ac:dyDescent="0.15">
      <c r="N23">
        <v>19</v>
      </c>
    </row>
    <row r="24" spans="14:14" x14ac:dyDescent="0.15">
      <c r="N24">
        <v>20</v>
      </c>
    </row>
    <row r="25" spans="14:14" x14ac:dyDescent="0.15">
      <c r="N25">
        <v>21</v>
      </c>
    </row>
    <row r="26" spans="14:14" x14ac:dyDescent="0.15">
      <c r="N26">
        <v>22</v>
      </c>
    </row>
    <row r="27" spans="14:14" x14ac:dyDescent="0.15">
      <c r="N27">
        <v>23</v>
      </c>
    </row>
    <row r="28" spans="14:14" x14ac:dyDescent="0.15">
      <c r="N28">
        <v>24</v>
      </c>
    </row>
    <row r="29" spans="14:14" x14ac:dyDescent="0.15">
      <c r="N29">
        <v>25</v>
      </c>
    </row>
    <row r="30" spans="14:14" x14ac:dyDescent="0.15">
      <c r="N30">
        <v>26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99"/>
  <sheetViews>
    <sheetView zoomScale="175" zoomScaleNormal="175" workbookViewId="0">
      <selection activeCell="H9" sqref="H9"/>
    </sheetView>
  </sheetViews>
  <sheetFormatPr defaultRowHeight="13.5" x14ac:dyDescent="0.15"/>
  <cols>
    <col min="1" max="16384" width="9" style="14"/>
  </cols>
  <sheetData>
    <row r="1" spans="1:14" x14ac:dyDescent="0.15">
      <c r="A1" s="15">
        <f>SetEnemy!B6</f>
        <v>1</v>
      </c>
      <c r="B1" s="15">
        <f>SetEnemy!D6</f>
        <v>0</v>
      </c>
      <c r="C1" s="15">
        <f>SetEnemy!E6</f>
        <v>0</v>
      </c>
      <c r="D1" s="15">
        <f>SetEnemy!F6</f>
        <v>500</v>
      </c>
      <c r="E1" s="15">
        <f>SetEnemy!G6</f>
        <v>0</v>
      </c>
      <c r="F1" s="15">
        <f>SetEnemy!H6</f>
        <v>50</v>
      </c>
      <c r="G1" s="15">
        <f>SetEnemy!J6</f>
        <v>0</v>
      </c>
      <c r="H1" s="15">
        <f>SetEnemy!K6</f>
        <v>0</v>
      </c>
      <c r="I1" s="15">
        <f>SetEnemy!M6</f>
        <v>0</v>
      </c>
      <c r="J1" s="15"/>
      <c r="K1" s="15"/>
      <c r="L1" s="15"/>
      <c r="M1" s="15"/>
      <c r="N1" s="15"/>
    </row>
    <row r="2" spans="1:14" x14ac:dyDescent="0.15">
      <c r="A2" s="16">
        <f>SetEnemy!B7</f>
        <v>2</v>
      </c>
      <c r="B2" s="16">
        <f>SetEnemy!D7</f>
        <v>0</v>
      </c>
      <c r="C2" s="16">
        <f>SetEnemy!E7</f>
        <v>500</v>
      </c>
      <c r="D2" s="16">
        <f>SetEnemy!F7</f>
        <v>500</v>
      </c>
      <c r="E2" s="16">
        <f>SetEnemy!G7</f>
        <v>700</v>
      </c>
      <c r="F2" s="15">
        <f>SetEnemy!H7</f>
        <v>50</v>
      </c>
      <c r="G2" s="16">
        <f>SetEnemy!J7</f>
        <v>0</v>
      </c>
      <c r="H2" s="16">
        <f>SetEnemy!K7</f>
        <v>0</v>
      </c>
      <c r="I2" s="16">
        <f>SetEnemy!M7</f>
        <v>0</v>
      </c>
      <c r="J2" s="16"/>
      <c r="K2" s="16"/>
      <c r="L2" s="16"/>
      <c r="M2" s="16"/>
      <c r="N2" s="16"/>
    </row>
    <row r="3" spans="1:14" x14ac:dyDescent="0.15">
      <c r="A3" s="15">
        <f>SetEnemy!B8</f>
        <v>2</v>
      </c>
      <c r="B3" s="15">
        <f>SetEnemy!D8</f>
        <v>0</v>
      </c>
      <c r="C3" s="15">
        <f>SetEnemy!E8</f>
        <v>500</v>
      </c>
      <c r="D3" s="15">
        <f>SetEnemy!F8</f>
        <v>500</v>
      </c>
      <c r="E3" s="15">
        <f>SetEnemy!G8</f>
        <v>900</v>
      </c>
      <c r="F3" s="15">
        <f>SetEnemy!H8</f>
        <v>50</v>
      </c>
      <c r="G3" s="15">
        <f>SetEnemy!J8</f>
        <v>0</v>
      </c>
      <c r="H3" s="15">
        <f>SetEnemy!K8</f>
        <v>0</v>
      </c>
      <c r="I3" s="15">
        <f>SetEnemy!M8</f>
        <v>0</v>
      </c>
      <c r="J3" s="15"/>
      <c r="K3" s="15"/>
      <c r="L3" s="15"/>
      <c r="M3" s="15"/>
      <c r="N3" s="15"/>
    </row>
    <row r="4" spans="1:14" x14ac:dyDescent="0.15">
      <c r="A4" s="16">
        <f>SetEnemy!B9</f>
        <v>2</v>
      </c>
      <c r="B4" s="16">
        <f>SetEnemy!D9</f>
        <v>0</v>
      </c>
      <c r="C4" s="16">
        <f>SetEnemy!E9</f>
        <v>-500</v>
      </c>
      <c r="D4" s="16">
        <f>SetEnemy!F9</f>
        <v>500</v>
      </c>
      <c r="E4" s="16">
        <f>SetEnemy!G9</f>
        <v>500</v>
      </c>
      <c r="F4" s="15">
        <f>SetEnemy!H9</f>
        <v>50</v>
      </c>
      <c r="G4" s="16">
        <f>SetEnemy!J9</f>
        <v>0</v>
      </c>
      <c r="H4" s="16">
        <f>SetEnemy!K9</f>
        <v>0</v>
      </c>
      <c r="I4" s="16">
        <f>SetEnemy!M9</f>
        <v>1</v>
      </c>
      <c r="J4" s="16"/>
      <c r="K4" s="16"/>
      <c r="L4" s="16"/>
      <c r="M4" s="16"/>
      <c r="N4" s="16"/>
    </row>
    <row r="5" spans="1:14" x14ac:dyDescent="0.15">
      <c r="A5" s="15">
        <f>SetEnemy!B10</f>
        <v>3</v>
      </c>
      <c r="B5" s="15">
        <f>SetEnemy!D10</f>
        <v>0</v>
      </c>
      <c r="C5" s="15">
        <f>SetEnemy!E10</f>
        <v>-500</v>
      </c>
      <c r="D5" s="15">
        <f>SetEnemy!F10</f>
        <v>500</v>
      </c>
      <c r="E5" s="15">
        <f>SetEnemy!G10</f>
        <v>700</v>
      </c>
      <c r="F5" s="15">
        <f>SetEnemy!H10</f>
        <v>50</v>
      </c>
      <c r="G5" s="15">
        <f>SetEnemy!J10</f>
        <v>0</v>
      </c>
      <c r="H5" s="15">
        <f>SetEnemy!K10</f>
        <v>2</v>
      </c>
      <c r="I5" s="15">
        <f>SetEnemy!M10</f>
        <v>0</v>
      </c>
      <c r="J5" s="15"/>
      <c r="K5" s="15"/>
      <c r="L5" s="15"/>
      <c r="M5" s="15"/>
      <c r="N5" s="15"/>
    </row>
    <row r="6" spans="1:14" x14ac:dyDescent="0.15">
      <c r="A6" s="16">
        <f>SetEnemy!B11</f>
        <v>3</v>
      </c>
      <c r="B6" s="16">
        <f>SetEnemy!D11</f>
        <v>0</v>
      </c>
      <c r="C6" s="16">
        <f>SetEnemy!E11</f>
        <v>-500</v>
      </c>
      <c r="D6" s="16">
        <f>SetEnemy!F11</f>
        <v>500</v>
      </c>
      <c r="E6" s="16">
        <f>SetEnemy!G11</f>
        <v>900</v>
      </c>
      <c r="F6" s="15">
        <f>SetEnemy!H11</f>
        <v>50</v>
      </c>
      <c r="G6" s="16">
        <f>SetEnemy!J11</f>
        <v>0</v>
      </c>
      <c r="H6" s="16">
        <f>SetEnemy!K11</f>
        <v>2</v>
      </c>
      <c r="I6" s="16">
        <f>SetEnemy!M11</f>
        <v>0</v>
      </c>
      <c r="J6" s="16"/>
      <c r="K6" s="16"/>
      <c r="L6" s="16"/>
      <c r="M6" s="16"/>
      <c r="N6" s="16"/>
    </row>
    <row r="7" spans="1:14" x14ac:dyDescent="0.15">
      <c r="A7" s="15">
        <f>SetEnemy!B12</f>
        <v>3</v>
      </c>
      <c r="B7" s="15">
        <f>SetEnemy!D12</f>
        <v>0</v>
      </c>
      <c r="C7" s="15">
        <f>SetEnemy!E12</f>
        <v>300</v>
      </c>
      <c r="D7" s="15">
        <f>SetEnemy!F12</f>
        <v>500</v>
      </c>
      <c r="E7" s="15">
        <f>SetEnemy!G12</f>
        <v>600</v>
      </c>
      <c r="F7" s="15">
        <f>SetEnemy!H12</f>
        <v>50</v>
      </c>
      <c r="G7" s="15">
        <f>SetEnemy!J12</f>
        <v>1</v>
      </c>
      <c r="H7" s="15">
        <f>SetEnemy!K12</f>
        <v>2</v>
      </c>
      <c r="I7" s="15">
        <f>SetEnemy!M12</f>
        <v>1</v>
      </c>
      <c r="J7" s="15"/>
      <c r="K7" s="15"/>
      <c r="L7" s="15"/>
      <c r="M7" s="15"/>
      <c r="N7" s="15"/>
    </row>
    <row r="8" spans="1:14" x14ac:dyDescent="0.15">
      <c r="A8" s="16">
        <f>SetEnemy!B13</f>
        <v>3</v>
      </c>
      <c r="B8" s="16">
        <f>SetEnemy!D13</f>
        <v>0</v>
      </c>
      <c r="C8" s="16">
        <f>SetEnemy!E13</f>
        <v>500</v>
      </c>
      <c r="D8" s="16">
        <f>SetEnemy!F13</f>
        <v>500</v>
      </c>
      <c r="E8" s="16">
        <f>SetEnemy!G13</f>
        <v>600</v>
      </c>
      <c r="F8" s="15">
        <f>SetEnemy!H13</f>
        <v>50</v>
      </c>
      <c r="G8" s="16">
        <f>SetEnemy!J13</f>
        <v>1</v>
      </c>
      <c r="H8" s="16">
        <f>SetEnemy!K13</f>
        <v>2</v>
      </c>
      <c r="I8" s="16">
        <f>SetEnemy!M13</f>
        <v>1</v>
      </c>
      <c r="J8" s="16"/>
      <c r="K8" s="16"/>
      <c r="L8" s="16"/>
      <c r="M8" s="16"/>
      <c r="N8" s="16"/>
    </row>
    <row r="9" spans="1:14" x14ac:dyDescent="0.15">
      <c r="A9" s="15">
        <f>SetEnemy!B14</f>
        <v>4</v>
      </c>
      <c r="B9" s="15">
        <f>SetEnemy!D14</f>
        <v>0</v>
      </c>
      <c r="C9" s="15">
        <f>SetEnemy!E14</f>
        <v>700</v>
      </c>
      <c r="D9" s="15">
        <f>SetEnemy!F14</f>
        <v>500</v>
      </c>
      <c r="E9" s="15">
        <f>SetEnemy!G14</f>
        <v>600</v>
      </c>
      <c r="F9" s="15">
        <f>SetEnemy!H14</f>
        <v>50</v>
      </c>
      <c r="G9" s="15">
        <f>SetEnemy!J14</f>
        <v>1</v>
      </c>
      <c r="H9" s="15">
        <f>SetEnemy!K14</f>
        <v>2</v>
      </c>
      <c r="I9" s="15">
        <f>SetEnemy!M14</f>
        <v>0</v>
      </c>
      <c r="J9" s="15"/>
      <c r="K9" s="15"/>
      <c r="L9" s="15"/>
      <c r="M9" s="15"/>
      <c r="N9" s="15"/>
    </row>
    <row r="10" spans="1:14" x14ac:dyDescent="0.15">
      <c r="A10" s="16">
        <f>SetEnemy!B15</f>
        <v>4</v>
      </c>
      <c r="B10" s="16">
        <f>SetEnemy!D15</f>
        <v>0</v>
      </c>
      <c r="C10" s="16">
        <f>SetEnemy!E15</f>
        <v>700</v>
      </c>
      <c r="D10" s="16">
        <f>SetEnemy!F15</f>
        <v>500</v>
      </c>
      <c r="E10" s="16">
        <f>SetEnemy!G15</f>
        <v>600</v>
      </c>
      <c r="F10" s="15">
        <f>SetEnemy!H15</f>
        <v>50</v>
      </c>
      <c r="G10" s="16">
        <f>SetEnemy!J15</f>
        <v>1</v>
      </c>
      <c r="H10" s="16">
        <f>SetEnemy!K15</f>
        <v>2</v>
      </c>
      <c r="I10" s="16">
        <f>SetEnemy!M15</f>
        <v>1</v>
      </c>
      <c r="J10" s="16"/>
      <c r="K10" s="16"/>
      <c r="L10" s="16"/>
      <c r="M10" s="16"/>
      <c r="N10" s="16"/>
    </row>
    <row r="11" spans="1:14" x14ac:dyDescent="0.15">
      <c r="A11" s="15">
        <f>SetEnemy!B16</f>
        <v>4</v>
      </c>
      <c r="B11" s="15">
        <f>SetEnemy!D16</f>
        <v>0</v>
      </c>
      <c r="C11" s="15">
        <f>SetEnemy!E16</f>
        <v>300</v>
      </c>
      <c r="D11" s="15">
        <f>SetEnemy!F16</f>
        <v>500</v>
      </c>
      <c r="E11" s="15">
        <f>SetEnemy!G16</f>
        <v>-600</v>
      </c>
      <c r="F11" s="15">
        <f>SetEnemy!H16</f>
        <v>50</v>
      </c>
      <c r="G11" s="15">
        <f>SetEnemy!J16</f>
        <v>1</v>
      </c>
      <c r="H11" s="15">
        <f>SetEnemy!K16</f>
        <v>2</v>
      </c>
      <c r="I11" s="15">
        <f>SetEnemy!M16</f>
        <v>0</v>
      </c>
      <c r="J11" s="15"/>
      <c r="K11" s="15"/>
      <c r="L11" s="15"/>
      <c r="M11" s="15"/>
      <c r="N11" s="15"/>
    </row>
    <row r="12" spans="1:14" x14ac:dyDescent="0.15">
      <c r="A12" s="16">
        <f>SetEnemy!B17</f>
        <v>4</v>
      </c>
      <c r="B12" s="16">
        <f>SetEnemy!D17</f>
        <v>0</v>
      </c>
      <c r="C12" s="16">
        <f>SetEnemy!E17</f>
        <v>500</v>
      </c>
      <c r="D12" s="16">
        <f>SetEnemy!F17</f>
        <v>500</v>
      </c>
      <c r="E12" s="16">
        <f>SetEnemy!G17</f>
        <v>-600</v>
      </c>
      <c r="F12" s="15">
        <f>SetEnemy!H17</f>
        <v>50</v>
      </c>
      <c r="G12" s="16">
        <f>SetEnemy!J17</f>
        <v>1</v>
      </c>
      <c r="H12" s="16">
        <f>SetEnemy!K17</f>
        <v>2</v>
      </c>
      <c r="I12" s="16">
        <f>SetEnemy!M17</f>
        <v>1</v>
      </c>
      <c r="J12" s="16"/>
      <c r="K12" s="16"/>
      <c r="L12" s="16"/>
      <c r="M12" s="16"/>
      <c r="N12" s="16"/>
    </row>
    <row r="13" spans="1:14" x14ac:dyDescent="0.15">
      <c r="A13" s="15">
        <f>SetEnemy!B18</f>
        <v>5</v>
      </c>
      <c r="B13" s="15">
        <f>SetEnemy!D18</f>
        <v>0</v>
      </c>
      <c r="C13" s="15">
        <f>SetEnemy!E18</f>
        <v>0</v>
      </c>
      <c r="D13" s="15">
        <f>SetEnemy!F18</f>
        <v>500</v>
      </c>
      <c r="E13" s="15">
        <f>SetEnemy!G18</f>
        <v>900</v>
      </c>
      <c r="F13" s="15">
        <f>SetEnemy!H18</f>
        <v>50</v>
      </c>
      <c r="G13" s="15">
        <f>SetEnemy!J18</f>
        <v>1</v>
      </c>
      <c r="H13" s="15">
        <f>SetEnemy!K18</f>
        <v>2</v>
      </c>
      <c r="I13" s="15">
        <f>SetEnemy!M18</f>
        <v>1</v>
      </c>
      <c r="J13" s="15"/>
      <c r="K13" s="15"/>
      <c r="L13" s="15"/>
      <c r="M13" s="15"/>
      <c r="N13" s="15"/>
    </row>
    <row r="14" spans="1:14" x14ac:dyDescent="0.15">
      <c r="A14" s="16">
        <f>SetEnemy!B19</f>
        <v>5</v>
      </c>
      <c r="B14" s="16">
        <f>SetEnemy!D19</f>
        <v>0</v>
      </c>
      <c r="C14" s="16">
        <f>SetEnemy!E19</f>
        <v>0</v>
      </c>
      <c r="D14" s="16">
        <f>SetEnemy!F19</f>
        <v>500</v>
      </c>
      <c r="E14" s="16">
        <f>SetEnemy!G19</f>
        <v>700</v>
      </c>
      <c r="F14" s="15">
        <f>SetEnemy!H19</f>
        <v>50</v>
      </c>
      <c r="G14" s="16">
        <f>SetEnemy!J19</f>
        <v>1</v>
      </c>
      <c r="H14" s="16">
        <f>SetEnemy!K19</f>
        <v>2</v>
      </c>
      <c r="I14" s="16">
        <f>SetEnemy!M19</f>
        <v>1</v>
      </c>
      <c r="J14" s="16"/>
      <c r="K14" s="16"/>
      <c r="L14" s="16"/>
      <c r="M14" s="16"/>
      <c r="N14" s="16"/>
    </row>
    <row r="15" spans="1:14" x14ac:dyDescent="0.15">
      <c r="A15" s="15">
        <f>SetEnemy!B20</f>
        <v>5</v>
      </c>
      <c r="B15" s="15">
        <f>SetEnemy!D20</f>
        <v>0</v>
      </c>
      <c r="C15" s="15">
        <f>SetEnemy!E20</f>
        <v>0</v>
      </c>
      <c r="D15" s="15">
        <f>SetEnemy!F20</f>
        <v>500</v>
      </c>
      <c r="E15" s="15">
        <f>SetEnemy!G20</f>
        <v>500</v>
      </c>
      <c r="F15" s="15">
        <f>SetEnemy!H20</f>
        <v>50</v>
      </c>
      <c r="G15" s="15">
        <f>SetEnemy!J20</f>
        <v>1</v>
      </c>
      <c r="H15" s="15">
        <f>SetEnemy!K20</f>
        <v>2</v>
      </c>
      <c r="I15" s="15">
        <f>SetEnemy!M20</f>
        <v>0</v>
      </c>
      <c r="J15" s="15"/>
      <c r="K15" s="15"/>
      <c r="L15" s="15"/>
      <c r="M15" s="15"/>
      <c r="N15" s="15"/>
    </row>
    <row r="16" spans="1:14" x14ac:dyDescent="0.15">
      <c r="A16" s="16">
        <f>SetEnemy!B21</f>
        <v>5</v>
      </c>
      <c r="B16" s="16">
        <f>SetEnemy!D21</f>
        <v>0</v>
      </c>
      <c r="C16" s="16">
        <f>SetEnemy!E21</f>
        <v>900</v>
      </c>
      <c r="D16" s="16">
        <f>SetEnemy!F21</f>
        <v>500</v>
      </c>
      <c r="E16" s="16">
        <f>SetEnemy!G21</f>
        <v>0</v>
      </c>
      <c r="F16" s="15">
        <f>SetEnemy!H21</f>
        <v>50</v>
      </c>
      <c r="G16" s="16">
        <f>SetEnemy!J21</f>
        <v>1</v>
      </c>
      <c r="H16" s="16">
        <f>SetEnemy!K21</f>
        <v>2</v>
      </c>
      <c r="I16" s="16">
        <f>SetEnemy!M21</f>
        <v>0</v>
      </c>
      <c r="J16" s="16"/>
      <c r="K16" s="16"/>
      <c r="L16" s="16"/>
      <c r="M16" s="16"/>
      <c r="N16" s="16"/>
    </row>
    <row r="17" spans="1:14" x14ac:dyDescent="0.15">
      <c r="A17" s="15">
        <f>SetEnemy!B22</f>
        <v>5</v>
      </c>
      <c r="B17" s="15">
        <f>SetEnemy!D22</f>
        <v>0</v>
      </c>
      <c r="C17" s="15">
        <f>SetEnemy!E22</f>
        <v>700</v>
      </c>
      <c r="D17" s="15">
        <f>SetEnemy!F22</f>
        <v>500</v>
      </c>
      <c r="E17" s="15">
        <f>SetEnemy!G22</f>
        <v>0</v>
      </c>
      <c r="F17" s="15">
        <f>SetEnemy!H22</f>
        <v>50</v>
      </c>
      <c r="G17" s="15">
        <f>SetEnemy!J22</f>
        <v>1</v>
      </c>
      <c r="H17" s="15">
        <f>SetEnemy!K22</f>
        <v>2</v>
      </c>
      <c r="I17" s="15">
        <f>SetEnemy!M22</f>
        <v>1</v>
      </c>
      <c r="J17" s="15"/>
      <c r="K17" s="15"/>
      <c r="L17" s="15"/>
      <c r="M17" s="15"/>
      <c r="N17" s="15"/>
    </row>
    <row r="18" spans="1:14" x14ac:dyDescent="0.15">
      <c r="A18" s="16">
        <f>SetEnemy!B23</f>
        <v>5</v>
      </c>
      <c r="B18" s="16">
        <f>SetEnemy!D23</f>
        <v>0</v>
      </c>
      <c r="C18" s="16">
        <f>SetEnemy!E23</f>
        <v>500</v>
      </c>
      <c r="D18" s="16">
        <f>SetEnemy!F23</f>
        <v>500</v>
      </c>
      <c r="E18" s="16">
        <f>SetEnemy!G23</f>
        <v>0</v>
      </c>
      <c r="F18" s="15">
        <f>SetEnemy!H23</f>
        <v>50</v>
      </c>
      <c r="G18" s="16">
        <f>SetEnemy!J23</f>
        <v>1</v>
      </c>
      <c r="H18" s="16">
        <f>SetEnemy!K23</f>
        <v>2</v>
      </c>
      <c r="I18" s="16">
        <f>SetEnemy!M23</f>
        <v>1</v>
      </c>
      <c r="J18" s="16"/>
      <c r="K18" s="16"/>
      <c r="L18" s="16"/>
      <c r="M18" s="16"/>
      <c r="N18" s="16"/>
    </row>
    <row r="19" spans="1:14" x14ac:dyDescent="0.15">
      <c r="A19" s="15">
        <f>SetEnemy!B24</f>
        <v>6</v>
      </c>
      <c r="B19" s="15">
        <f>SetEnemy!D24</f>
        <v>0</v>
      </c>
      <c r="C19" s="15">
        <f>SetEnemy!E24</f>
        <v>0</v>
      </c>
      <c r="D19" s="15">
        <f>SetEnemy!F24</f>
        <v>500</v>
      </c>
      <c r="E19" s="15">
        <f>SetEnemy!G24</f>
        <v>0</v>
      </c>
      <c r="F19" s="15">
        <f>SetEnemy!H24</f>
        <v>50</v>
      </c>
      <c r="G19" s="15">
        <f>SetEnemy!J24</f>
        <v>1</v>
      </c>
      <c r="H19" s="15">
        <f>SetEnemy!K24</f>
        <v>3</v>
      </c>
      <c r="I19" s="15">
        <f>SetEnemy!M24</f>
        <v>0</v>
      </c>
      <c r="J19" s="15"/>
      <c r="K19" s="15"/>
      <c r="L19" s="15"/>
      <c r="M19" s="15"/>
      <c r="N19" s="15"/>
    </row>
    <row r="20" spans="1:14" x14ac:dyDescent="0.15">
      <c r="A20" s="16">
        <f>SetEnemy!B25</f>
        <v>6</v>
      </c>
      <c r="B20" s="16">
        <f>SetEnemy!D25</f>
        <v>0</v>
      </c>
      <c r="C20" s="16">
        <f>SetEnemy!E25</f>
        <v>-300</v>
      </c>
      <c r="D20" s="16">
        <f>SetEnemy!F25</f>
        <v>500</v>
      </c>
      <c r="E20" s="16">
        <f>SetEnemy!G25</f>
        <v>300</v>
      </c>
      <c r="F20" s="15">
        <f>SetEnemy!H25</f>
        <v>50</v>
      </c>
      <c r="G20" s="16">
        <f>SetEnemy!J25</f>
        <v>1</v>
      </c>
      <c r="H20" s="16">
        <f>SetEnemy!K25</f>
        <v>3</v>
      </c>
      <c r="I20" s="16">
        <f>SetEnemy!M25</f>
        <v>0</v>
      </c>
      <c r="J20" s="16"/>
      <c r="K20" s="16"/>
      <c r="L20" s="16"/>
      <c r="M20" s="16"/>
      <c r="N20" s="16"/>
    </row>
    <row r="21" spans="1:14" x14ac:dyDescent="0.15">
      <c r="A21" s="15">
        <f>SetEnemy!B26</f>
        <v>6</v>
      </c>
      <c r="B21" s="15">
        <f>SetEnemy!D26</f>
        <v>0</v>
      </c>
      <c r="C21" s="15">
        <f>SetEnemy!E26</f>
        <v>-300</v>
      </c>
      <c r="D21" s="15">
        <f>SetEnemy!F26</f>
        <v>500</v>
      </c>
      <c r="E21" s="15">
        <f>SetEnemy!G26</f>
        <v>-300</v>
      </c>
      <c r="F21" s="15">
        <f>SetEnemy!H26</f>
        <v>50</v>
      </c>
      <c r="G21" s="15">
        <f>SetEnemy!J26</f>
        <v>1</v>
      </c>
      <c r="H21" s="15">
        <f>SetEnemy!K26</f>
        <v>3</v>
      </c>
      <c r="I21" s="15">
        <f>SetEnemy!M26</f>
        <v>1</v>
      </c>
      <c r="J21" s="15"/>
      <c r="K21" s="15"/>
      <c r="L21" s="15"/>
      <c r="M21" s="15"/>
      <c r="N21" s="15"/>
    </row>
    <row r="22" spans="1:14" x14ac:dyDescent="0.15">
      <c r="A22" s="16">
        <f>SetEnemy!B27</f>
        <v>6</v>
      </c>
      <c r="B22" s="16">
        <f>SetEnemy!D27</f>
        <v>0</v>
      </c>
      <c r="C22" s="16">
        <f>SetEnemy!E27</f>
        <v>300</v>
      </c>
      <c r="D22" s="16">
        <f>SetEnemy!F27</f>
        <v>500</v>
      </c>
      <c r="E22" s="16">
        <f>SetEnemy!G27</f>
        <v>-300</v>
      </c>
      <c r="F22" s="15">
        <f>SetEnemy!H27</f>
        <v>50</v>
      </c>
      <c r="G22" s="16">
        <f>SetEnemy!J27</f>
        <v>1</v>
      </c>
      <c r="H22" s="16">
        <f>SetEnemy!K27</f>
        <v>3</v>
      </c>
      <c r="I22" s="16">
        <f>SetEnemy!M27</f>
        <v>1</v>
      </c>
      <c r="J22" s="16"/>
      <c r="K22" s="16"/>
      <c r="L22" s="16"/>
      <c r="M22" s="16"/>
      <c r="N22" s="16"/>
    </row>
    <row r="23" spans="1:14" x14ac:dyDescent="0.15">
      <c r="A23" s="15">
        <f>SetEnemy!B28</f>
        <v>6</v>
      </c>
      <c r="B23" s="15">
        <f>SetEnemy!D28</f>
        <v>0</v>
      </c>
      <c r="C23" s="15">
        <f>SetEnemy!E28</f>
        <v>300</v>
      </c>
      <c r="D23" s="15">
        <f>SetEnemy!F28</f>
        <v>500</v>
      </c>
      <c r="E23" s="15">
        <f>SetEnemy!G28</f>
        <v>300</v>
      </c>
      <c r="F23" s="15">
        <f>SetEnemy!H28</f>
        <v>50</v>
      </c>
      <c r="G23" s="15">
        <f>SetEnemy!J28</f>
        <v>1</v>
      </c>
      <c r="H23" s="15">
        <f>SetEnemy!K28</f>
        <v>3</v>
      </c>
      <c r="I23" s="15">
        <f>SetEnemy!M28</f>
        <v>0</v>
      </c>
      <c r="J23" s="15"/>
      <c r="K23" s="15"/>
      <c r="L23" s="15"/>
      <c r="M23" s="15"/>
      <c r="N23" s="15"/>
    </row>
    <row r="24" spans="1:14" x14ac:dyDescent="0.15">
      <c r="A24" s="16">
        <f>SetEnemy!B29</f>
        <v>6</v>
      </c>
      <c r="B24" s="16">
        <f>SetEnemy!D29</f>
        <v>0</v>
      </c>
      <c r="C24" s="16">
        <f>SetEnemy!E29</f>
        <v>300</v>
      </c>
      <c r="D24" s="16">
        <f>SetEnemy!F29</f>
        <v>500</v>
      </c>
      <c r="E24" s="16">
        <f>SetEnemy!G29</f>
        <v>-300</v>
      </c>
      <c r="F24" s="15">
        <f>SetEnemy!H29</f>
        <v>50</v>
      </c>
      <c r="G24" s="16">
        <f>SetEnemy!J29</f>
        <v>1</v>
      </c>
      <c r="H24" s="16">
        <f>SetEnemy!K29</f>
        <v>3</v>
      </c>
      <c r="I24" s="16">
        <f>SetEnemy!M29</f>
        <v>0</v>
      </c>
      <c r="J24" s="16"/>
      <c r="K24" s="16"/>
      <c r="L24" s="16"/>
      <c r="M24" s="16"/>
      <c r="N24" s="16"/>
    </row>
    <row r="25" spans="1:14" x14ac:dyDescent="0.15">
      <c r="A25" s="15">
        <f>SetEnemy!B30</f>
        <v>7</v>
      </c>
      <c r="B25" s="15">
        <f>SetEnemy!D30</f>
        <v>1</v>
      </c>
      <c r="C25" s="15">
        <f>SetEnemy!E30</f>
        <v>1000</v>
      </c>
      <c r="D25" s="15">
        <f>SetEnemy!F30</f>
        <v>500</v>
      </c>
      <c r="E25" s="15">
        <f>SetEnemy!G30</f>
        <v>500</v>
      </c>
      <c r="F25" s="15">
        <f>SetEnemy!H30</f>
        <v>50</v>
      </c>
      <c r="G25" s="15">
        <f>SetEnemy!J30</f>
        <v>1</v>
      </c>
      <c r="H25" s="15">
        <f>SetEnemy!K30</f>
        <v>6</v>
      </c>
      <c r="I25" s="15">
        <f>SetEnemy!M30</f>
        <v>2</v>
      </c>
      <c r="J25" s="15"/>
      <c r="K25" s="15"/>
      <c r="L25" s="15"/>
      <c r="M25" s="15"/>
      <c r="N25" s="15"/>
    </row>
    <row r="26" spans="1:14" x14ac:dyDescent="0.15">
      <c r="A26" s="16">
        <f>SetEnemy!B31</f>
        <v>-1</v>
      </c>
      <c r="B26" s="16" t="str">
        <f>SetEnemy!D31</f>
        <v/>
      </c>
      <c r="C26" s="16">
        <f>SetEnemy!E31</f>
        <v>0</v>
      </c>
      <c r="D26" s="16">
        <f>SetEnemy!F31</f>
        <v>0</v>
      </c>
      <c r="E26" s="16">
        <f>SetEnemy!G31</f>
        <v>0</v>
      </c>
      <c r="F26" s="15">
        <f>SetEnemy!H31</f>
        <v>0</v>
      </c>
      <c r="G26" s="16" t="str">
        <f>SetEnemy!J31</f>
        <v/>
      </c>
      <c r="H26" s="16">
        <f>SetEnemy!K31</f>
        <v>0</v>
      </c>
      <c r="I26" s="16" t="str">
        <f>SetEnemy!M31</f>
        <v/>
      </c>
      <c r="J26" s="16"/>
      <c r="K26" s="16"/>
      <c r="L26" s="16"/>
      <c r="M26" s="16"/>
      <c r="N26" s="16"/>
    </row>
    <row r="27" spans="1:14" x14ac:dyDescent="0.15">
      <c r="A27" s="15">
        <f>SetEnemy!B32</f>
        <v>0</v>
      </c>
      <c r="B27" s="15" t="str">
        <f>SetEnemy!D32</f>
        <v/>
      </c>
      <c r="C27" s="15">
        <f>SetEnemy!E32</f>
        <v>0</v>
      </c>
      <c r="D27" s="15">
        <f>SetEnemy!F32</f>
        <v>0</v>
      </c>
      <c r="E27" s="15">
        <f>SetEnemy!G32</f>
        <v>0</v>
      </c>
      <c r="F27" s="15">
        <f>SetEnemy!H32</f>
        <v>0</v>
      </c>
      <c r="G27" s="15" t="str">
        <f>SetEnemy!J32</f>
        <v/>
      </c>
      <c r="H27" s="15">
        <f>SetEnemy!K32</f>
        <v>0</v>
      </c>
      <c r="I27" s="15" t="str">
        <f>SetEnemy!M32</f>
        <v/>
      </c>
      <c r="J27" s="15"/>
      <c r="K27" s="15"/>
      <c r="L27" s="15"/>
      <c r="M27" s="15"/>
      <c r="N27" s="15"/>
    </row>
    <row r="28" spans="1:14" x14ac:dyDescent="0.15">
      <c r="A28" s="16">
        <f>SetEnemy!B33</f>
        <v>0</v>
      </c>
      <c r="B28" s="16" t="str">
        <f>SetEnemy!D33</f>
        <v/>
      </c>
      <c r="C28" s="16">
        <f>SetEnemy!E33</f>
        <v>0</v>
      </c>
      <c r="D28" s="16">
        <f>SetEnemy!F33</f>
        <v>0</v>
      </c>
      <c r="E28" s="16">
        <f>SetEnemy!G33</f>
        <v>0</v>
      </c>
      <c r="F28" s="15">
        <f>SetEnemy!H33</f>
        <v>0</v>
      </c>
      <c r="G28" s="16" t="str">
        <f>SetEnemy!J33</f>
        <v/>
      </c>
      <c r="H28" s="16">
        <f>SetEnemy!K33</f>
        <v>0</v>
      </c>
      <c r="I28" s="16" t="str">
        <f>SetEnemy!M33</f>
        <v/>
      </c>
      <c r="J28" s="16"/>
      <c r="K28" s="16"/>
      <c r="L28" s="16"/>
      <c r="M28" s="16"/>
      <c r="N28" s="16"/>
    </row>
    <row r="29" spans="1:14" x14ac:dyDescent="0.15">
      <c r="A29" s="15">
        <f>SetEnemy!B34</f>
        <v>0</v>
      </c>
      <c r="B29" s="15" t="str">
        <f>SetEnemy!D34</f>
        <v/>
      </c>
      <c r="C29" s="15">
        <f>SetEnemy!E34</f>
        <v>0</v>
      </c>
      <c r="D29" s="15">
        <f>SetEnemy!F34</f>
        <v>0</v>
      </c>
      <c r="E29" s="15">
        <f>SetEnemy!G34</f>
        <v>0</v>
      </c>
      <c r="F29" s="15">
        <f>SetEnemy!H34</f>
        <v>0</v>
      </c>
      <c r="G29" s="15" t="str">
        <f>SetEnemy!J34</f>
        <v/>
      </c>
      <c r="H29" s="15">
        <f>SetEnemy!K34</f>
        <v>0</v>
      </c>
      <c r="I29" s="15" t="str">
        <f>SetEnemy!M34</f>
        <v/>
      </c>
      <c r="J29" s="15"/>
      <c r="K29" s="15"/>
      <c r="L29" s="15"/>
      <c r="M29" s="15"/>
      <c r="N29" s="15"/>
    </row>
    <row r="30" spans="1:14" x14ac:dyDescent="0.15">
      <c r="A30" s="16">
        <f>SetEnemy!B35</f>
        <v>0</v>
      </c>
      <c r="B30" s="16" t="str">
        <f>SetEnemy!D35</f>
        <v/>
      </c>
      <c r="C30" s="16">
        <f>SetEnemy!E35</f>
        <v>0</v>
      </c>
      <c r="D30" s="16">
        <f>SetEnemy!F35</f>
        <v>0</v>
      </c>
      <c r="E30" s="16">
        <f>SetEnemy!G35</f>
        <v>0</v>
      </c>
      <c r="F30" s="15">
        <f>SetEnemy!H35</f>
        <v>0</v>
      </c>
      <c r="G30" s="16" t="str">
        <f>SetEnemy!J35</f>
        <v/>
      </c>
      <c r="H30" s="16">
        <f>SetEnemy!K35</f>
        <v>0</v>
      </c>
      <c r="I30" s="16" t="str">
        <f>SetEnemy!M35</f>
        <v/>
      </c>
      <c r="J30" s="16"/>
      <c r="K30" s="16"/>
      <c r="L30" s="16"/>
      <c r="M30" s="16"/>
      <c r="N30" s="16"/>
    </row>
    <row r="31" spans="1:14" x14ac:dyDescent="0.15">
      <c r="A31" s="15">
        <f>SetEnemy!B36</f>
        <v>0</v>
      </c>
      <c r="B31" s="15" t="str">
        <f>SetEnemy!D36</f>
        <v/>
      </c>
      <c r="C31" s="15">
        <f>SetEnemy!E36</f>
        <v>0</v>
      </c>
      <c r="D31" s="15">
        <f>SetEnemy!F36</f>
        <v>0</v>
      </c>
      <c r="E31" s="15">
        <f>SetEnemy!G36</f>
        <v>0</v>
      </c>
      <c r="F31" s="15">
        <f>SetEnemy!H36</f>
        <v>0</v>
      </c>
      <c r="G31" s="15" t="str">
        <f>SetEnemy!J36</f>
        <v/>
      </c>
      <c r="H31" s="15">
        <f>SetEnemy!K36</f>
        <v>0</v>
      </c>
      <c r="I31" s="15" t="str">
        <f>SetEnemy!M36</f>
        <v/>
      </c>
      <c r="J31" s="15"/>
      <c r="K31" s="15"/>
      <c r="L31" s="15"/>
      <c r="M31" s="15"/>
      <c r="N31" s="15"/>
    </row>
    <row r="32" spans="1:14" x14ac:dyDescent="0.15">
      <c r="A32" s="16">
        <f>SetEnemy!B37</f>
        <v>0</v>
      </c>
      <c r="B32" s="16" t="str">
        <f>SetEnemy!D37</f>
        <v/>
      </c>
      <c r="C32" s="16">
        <f>SetEnemy!E37</f>
        <v>0</v>
      </c>
      <c r="D32" s="16">
        <f>SetEnemy!F37</f>
        <v>0</v>
      </c>
      <c r="E32" s="16">
        <f>SetEnemy!G37</f>
        <v>0</v>
      </c>
      <c r="F32" s="15">
        <f>SetEnemy!H37</f>
        <v>0</v>
      </c>
      <c r="G32" s="16" t="str">
        <f>SetEnemy!J37</f>
        <v/>
      </c>
      <c r="H32" s="16">
        <f>SetEnemy!K37</f>
        <v>0</v>
      </c>
      <c r="I32" s="16" t="str">
        <f>SetEnemy!M37</f>
        <v/>
      </c>
      <c r="J32" s="16"/>
      <c r="K32" s="16"/>
      <c r="L32" s="16"/>
      <c r="M32" s="16"/>
      <c r="N32" s="16"/>
    </row>
    <row r="33" spans="1:14" x14ac:dyDescent="0.15">
      <c r="A33" s="15">
        <f>SetEnemy!B38</f>
        <v>0</v>
      </c>
      <c r="B33" s="15" t="str">
        <f>SetEnemy!D38</f>
        <v/>
      </c>
      <c r="C33" s="15">
        <f>SetEnemy!E38</f>
        <v>0</v>
      </c>
      <c r="D33" s="15">
        <f>SetEnemy!F38</f>
        <v>0</v>
      </c>
      <c r="E33" s="15">
        <f>SetEnemy!G38</f>
        <v>0</v>
      </c>
      <c r="F33" s="15">
        <f>SetEnemy!H38</f>
        <v>0</v>
      </c>
      <c r="G33" s="15" t="str">
        <f>SetEnemy!J38</f>
        <v/>
      </c>
      <c r="H33" s="15">
        <f>SetEnemy!K38</f>
        <v>0</v>
      </c>
      <c r="I33" s="15" t="str">
        <f>SetEnemy!M38</f>
        <v/>
      </c>
      <c r="J33" s="15"/>
      <c r="K33" s="15"/>
      <c r="L33" s="15"/>
      <c r="M33" s="15"/>
      <c r="N33" s="15"/>
    </row>
    <row r="34" spans="1:14" x14ac:dyDescent="0.15">
      <c r="A34" s="16">
        <f>SetEnemy!B39</f>
        <v>0</v>
      </c>
      <c r="B34" s="16" t="str">
        <f>SetEnemy!D39</f>
        <v/>
      </c>
      <c r="C34" s="16">
        <f>SetEnemy!E39</f>
        <v>0</v>
      </c>
      <c r="D34" s="16">
        <f>SetEnemy!F39</f>
        <v>0</v>
      </c>
      <c r="E34" s="16">
        <f>SetEnemy!G39</f>
        <v>0</v>
      </c>
      <c r="F34" s="15">
        <f>SetEnemy!H39</f>
        <v>0</v>
      </c>
      <c r="G34" s="16" t="str">
        <f>SetEnemy!J39</f>
        <v/>
      </c>
      <c r="H34" s="16">
        <f>SetEnemy!K39</f>
        <v>0</v>
      </c>
      <c r="I34" s="16" t="str">
        <f>SetEnemy!M39</f>
        <v/>
      </c>
      <c r="J34" s="16"/>
      <c r="K34" s="16"/>
      <c r="L34" s="16"/>
      <c r="M34" s="16"/>
      <c r="N34" s="16"/>
    </row>
    <row r="35" spans="1:14" x14ac:dyDescent="0.15">
      <c r="A35" s="15">
        <f>SetEnemy!B40</f>
        <v>0</v>
      </c>
      <c r="B35" s="15" t="str">
        <f>SetEnemy!D40</f>
        <v/>
      </c>
      <c r="C35" s="15">
        <f>SetEnemy!E40</f>
        <v>0</v>
      </c>
      <c r="D35" s="15">
        <f>SetEnemy!F40</f>
        <v>0</v>
      </c>
      <c r="E35" s="15">
        <f>SetEnemy!G40</f>
        <v>0</v>
      </c>
      <c r="F35" s="15">
        <f>SetEnemy!H40</f>
        <v>0</v>
      </c>
      <c r="G35" s="15" t="str">
        <f>SetEnemy!J40</f>
        <v/>
      </c>
      <c r="H35" s="15">
        <f>SetEnemy!K40</f>
        <v>0</v>
      </c>
      <c r="I35" s="15" t="str">
        <f>SetEnemy!M40</f>
        <v/>
      </c>
      <c r="J35" s="15"/>
      <c r="K35" s="15"/>
      <c r="L35" s="15"/>
      <c r="M35" s="15"/>
      <c r="N35" s="15"/>
    </row>
    <row r="36" spans="1:14" x14ac:dyDescent="0.15">
      <c r="A36" s="16">
        <f>SetEnemy!B41</f>
        <v>0</v>
      </c>
      <c r="B36" s="16" t="str">
        <f>SetEnemy!D41</f>
        <v/>
      </c>
      <c r="C36" s="16">
        <f>SetEnemy!E41</f>
        <v>0</v>
      </c>
      <c r="D36" s="16">
        <f>SetEnemy!F41</f>
        <v>0</v>
      </c>
      <c r="E36" s="16">
        <f>SetEnemy!G41</f>
        <v>0</v>
      </c>
      <c r="F36" s="15">
        <f>SetEnemy!H41</f>
        <v>0</v>
      </c>
      <c r="G36" s="16" t="str">
        <f>SetEnemy!J41</f>
        <v/>
      </c>
      <c r="H36" s="16">
        <f>SetEnemy!K41</f>
        <v>0</v>
      </c>
      <c r="I36" s="16" t="str">
        <f>SetEnemy!M41</f>
        <v/>
      </c>
      <c r="J36" s="16"/>
      <c r="K36" s="16"/>
      <c r="L36" s="16"/>
      <c r="M36" s="16"/>
      <c r="N36" s="16"/>
    </row>
    <row r="37" spans="1:14" x14ac:dyDescent="0.15">
      <c r="A37" s="15">
        <f>SetEnemy!B42</f>
        <v>0</v>
      </c>
      <c r="B37" s="15" t="str">
        <f>SetEnemy!D42</f>
        <v/>
      </c>
      <c r="C37" s="15">
        <f>SetEnemy!E42</f>
        <v>0</v>
      </c>
      <c r="D37" s="15">
        <f>SetEnemy!F42</f>
        <v>0</v>
      </c>
      <c r="E37" s="15">
        <f>SetEnemy!G42</f>
        <v>0</v>
      </c>
      <c r="F37" s="15">
        <f>SetEnemy!H42</f>
        <v>0</v>
      </c>
      <c r="G37" s="15" t="str">
        <f>SetEnemy!J42</f>
        <v/>
      </c>
      <c r="H37" s="15">
        <f>SetEnemy!K42</f>
        <v>0</v>
      </c>
      <c r="I37" s="15" t="str">
        <f>SetEnemy!M42</f>
        <v/>
      </c>
      <c r="J37" s="15"/>
      <c r="K37" s="15"/>
      <c r="L37" s="15"/>
      <c r="M37" s="15"/>
      <c r="N37" s="15"/>
    </row>
    <row r="38" spans="1:14" x14ac:dyDescent="0.15">
      <c r="A38" s="16">
        <f>SetEnemy!B43</f>
        <v>0</v>
      </c>
      <c r="B38" s="16" t="str">
        <f>SetEnemy!D43</f>
        <v/>
      </c>
      <c r="C38" s="16">
        <f>SetEnemy!E43</f>
        <v>0</v>
      </c>
      <c r="D38" s="16">
        <f>SetEnemy!F43</f>
        <v>0</v>
      </c>
      <c r="E38" s="16">
        <f>SetEnemy!G43</f>
        <v>0</v>
      </c>
      <c r="F38" s="15">
        <f>SetEnemy!H43</f>
        <v>0</v>
      </c>
      <c r="G38" s="16" t="str">
        <f>SetEnemy!J43</f>
        <v/>
      </c>
      <c r="H38" s="16">
        <f>SetEnemy!K43</f>
        <v>0</v>
      </c>
      <c r="I38" s="16" t="str">
        <f>SetEnemy!M43</f>
        <v/>
      </c>
      <c r="J38" s="16"/>
      <c r="K38" s="16"/>
      <c r="L38" s="16"/>
      <c r="M38" s="16"/>
      <c r="N38" s="16"/>
    </row>
    <row r="39" spans="1:14" x14ac:dyDescent="0.15">
      <c r="A39" s="15">
        <f>SetEnemy!B44</f>
        <v>0</v>
      </c>
      <c r="B39" s="15" t="str">
        <f>SetEnemy!D44</f>
        <v/>
      </c>
      <c r="C39" s="15">
        <f>SetEnemy!E44</f>
        <v>0</v>
      </c>
      <c r="D39" s="15">
        <f>SetEnemy!F44</f>
        <v>0</v>
      </c>
      <c r="E39" s="15">
        <f>SetEnemy!G44</f>
        <v>0</v>
      </c>
      <c r="F39" s="15">
        <f>SetEnemy!H44</f>
        <v>0</v>
      </c>
      <c r="G39" s="15" t="str">
        <f>SetEnemy!J44</f>
        <v/>
      </c>
      <c r="H39" s="15">
        <f>SetEnemy!K44</f>
        <v>0</v>
      </c>
      <c r="I39" s="15" t="str">
        <f>SetEnemy!M44</f>
        <v/>
      </c>
      <c r="J39" s="15"/>
      <c r="K39" s="15"/>
      <c r="L39" s="15"/>
      <c r="M39" s="15"/>
      <c r="N39" s="15"/>
    </row>
    <row r="40" spans="1:14" x14ac:dyDescent="0.15">
      <c r="A40" s="16">
        <f>SetEnemy!B45</f>
        <v>0</v>
      </c>
      <c r="B40" s="16" t="str">
        <f>SetEnemy!D45</f>
        <v/>
      </c>
      <c r="C40" s="16">
        <f>SetEnemy!E45</f>
        <v>0</v>
      </c>
      <c r="D40" s="16">
        <f>SetEnemy!F45</f>
        <v>0</v>
      </c>
      <c r="E40" s="16">
        <f>SetEnemy!G45</f>
        <v>0</v>
      </c>
      <c r="F40" s="15">
        <f>SetEnemy!H45</f>
        <v>0</v>
      </c>
      <c r="G40" s="16" t="str">
        <f>SetEnemy!J45</f>
        <v/>
      </c>
      <c r="H40" s="16">
        <f>SetEnemy!K45</f>
        <v>0</v>
      </c>
      <c r="I40" s="16" t="str">
        <f>SetEnemy!M45</f>
        <v/>
      </c>
      <c r="J40" s="16"/>
      <c r="K40" s="16"/>
      <c r="L40" s="16"/>
      <c r="M40" s="16"/>
      <c r="N40" s="16"/>
    </row>
    <row r="41" spans="1:14" x14ac:dyDescent="0.15">
      <c r="A41" s="15">
        <f>SetEnemy!B46</f>
        <v>0</v>
      </c>
      <c r="B41" s="15" t="str">
        <f>SetEnemy!D46</f>
        <v/>
      </c>
      <c r="C41" s="15">
        <f>SetEnemy!E46</f>
        <v>0</v>
      </c>
      <c r="D41" s="15">
        <f>SetEnemy!F46</f>
        <v>0</v>
      </c>
      <c r="E41" s="15">
        <f>SetEnemy!G46</f>
        <v>0</v>
      </c>
      <c r="F41" s="15">
        <f>SetEnemy!H46</f>
        <v>0</v>
      </c>
      <c r="G41" s="15" t="str">
        <f>SetEnemy!J46</f>
        <v/>
      </c>
      <c r="H41" s="15">
        <f>SetEnemy!K46</f>
        <v>0</v>
      </c>
      <c r="I41" s="15" t="str">
        <f>SetEnemy!M46</f>
        <v/>
      </c>
      <c r="J41" s="15"/>
      <c r="K41" s="15"/>
      <c r="L41" s="15"/>
      <c r="M41" s="15"/>
      <c r="N41" s="15"/>
    </row>
    <row r="42" spans="1:14" x14ac:dyDescent="0.15">
      <c r="A42" s="16">
        <f>SetEnemy!B47</f>
        <v>0</v>
      </c>
      <c r="B42" s="16" t="str">
        <f>SetEnemy!D47</f>
        <v/>
      </c>
      <c r="C42" s="16">
        <f>SetEnemy!E47</f>
        <v>0</v>
      </c>
      <c r="D42" s="16">
        <f>SetEnemy!F47</f>
        <v>0</v>
      </c>
      <c r="E42" s="16">
        <f>SetEnemy!G47</f>
        <v>0</v>
      </c>
      <c r="F42" s="15">
        <f>SetEnemy!H47</f>
        <v>0</v>
      </c>
      <c r="G42" s="16" t="str">
        <f>SetEnemy!J47</f>
        <v/>
      </c>
      <c r="H42" s="16">
        <f>SetEnemy!K47</f>
        <v>0</v>
      </c>
      <c r="I42" s="16" t="str">
        <f>SetEnemy!M47</f>
        <v/>
      </c>
      <c r="J42" s="16"/>
      <c r="K42" s="16"/>
      <c r="L42" s="16"/>
      <c r="M42" s="16"/>
      <c r="N42" s="16"/>
    </row>
    <row r="43" spans="1:14" x14ac:dyDescent="0.15">
      <c r="A43" s="15">
        <f>SetEnemy!B48</f>
        <v>0</v>
      </c>
      <c r="B43" s="15" t="str">
        <f>SetEnemy!D48</f>
        <v/>
      </c>
      <c r="C43" s="15">
        <f>SetEnemy!E48</f>
        <v>0</v>
      </c>
      <c r="D43" s="15">
        <f>SetEnemy!F48</f>
        <v>0</v>
      </c>
      <c r="E43" s="15">
        <f>SetEnemy!G48</f>
        <v>0</v>
      </c>
      <c r="F43" s="15">
        <f>SetEnemy!H48</f>
        <v>0</v>
      </c>
      <c r="G43" s="15" t="str">
        <f>SetEnemy!J48</f>
        <v/>
      </c>
      <c r="H43" s="15">
        <f>SetEnemy!K48</f>
        <v>0</v>
      </c>
      <c r="I43" s="15" t="str">
        <f>SetEnemy!M48</f>
        <v/>
      </c>
      <c r="J43" s="15"/>
      <c r="K43" s="15"/>
      <c r="L43" s="15"/>
      <c r="M43" s="15"/>
      <c r="N43" s="15"/>
    </row>
    <row r="44" spans="1:14" x14ac:dyDescent="0.15">
      <c r="A44" s="16">
        <f>SetEnemy!B49</f>
        <v>0</v>
      </c>
      <c r="B44" s="16" t="str">
        <f>SetEnemy!D49</f>
        <v/>
      </c>
      <c r="C44" s="16">
        <f>SetEnemy!E49</f>
        <v>0</v>
      </c>
      <c r="D44" s="16">
        <f>SetEnemy!F49</f>
        <v>0</v>
      </c>
      <c r="E44" s="16">
        <f>SetEnemy!G49</f>
        <v>0</v>
      </c>
      <c r="F44" s="15">
        <f>SetEnemy!H49</f>
        <v>0</v>
      </c>
      <c r="G44" s="16" t="str">
        <f>SetEnemy!J49</f>
        <v/>
      </c>
      <c r="H44" s="16">
        <f>SetEnemy!K49</f>
        <v>0</v>
      </c>
      <c r="I44" s="16" t="str">
        <f>SetEnemy!M49</f>
        <v/>
      </c>
      <c r="J44" s="16"/>
      <c r="K44" s="16"/>
      <c r="L44" s="16"/>
      <c r="M44" s="16"/>
      <c r="N44" s="16"/>
    </row>
    <row r="45" spans="1:14" x14ac:dyDescent="0.15">
      <c r="A45" s="15">
        <f>SetEnemy!B50</f>
        <v>0</v>
      </c>
      <c r="B45" s="15" t="str">
        <f>SetEnemy!D50</f>
        <v/>
      </c>
      <c r="C45" s="15">
        <f>SetEnemy!E50</f>
        <v>0</v>
      </c>
      <c r="D45" s="15">
        <f>SetEnemy!F50</f>
        <v>0</v>
      </c>
      <c r="E45" s="15">
        <f>SetEnemy!G50</f>
        <v>0</v>
      </c>
      <c r="F45" s="15">
        <f>SetEnemy!H50</f>
        <v>0</v>
      </c>
      <c r="G45" s="15" t="str">
        <f>SetEnemy!J50</f>
        <v/>
      </c>
      <c r="H45" s="15">
        <f>SetEnemy!K50</f>
        <v>0</v>
      </c>
      <c r="I45" s="15" t="str">
        <f>SetEnemy!M50</f>
        <v/>
      </c>
      <c r="J45" s="15"/>
      <c r="K45" s="15"/>
      <c r="L45" s="15"/>
      <c r="M45" s="15"/>
      <c r="N45" s="15"/>
    </row>
    <row r="46" spans="1:14" x14ac:dyDescent="0.15">
      <c r="A46" s="16">
        <f>SetEnemy!B51</f>
        <v>0</v>
      </c>
      <c r="B46" s="16" t="str">
        <f>SetEnemy!D51</f>
        <v/>
      </c>
      <c r="C46" s="16">
        <f>SetEnemy!E51</f>
        <v>0</v>
      </c>
      <c r="D46" s="16">
        <f>SetEnemy!F51</f>
        <v>0</v>
      </c>
      <c r="E46" s="16">
        <f>SetEnemy!G51</f>
        <v>0</v>
      </c>
      <c r="F46" s="15">
        <f>SetEnemy!H51</f>
        <v>0</v>
      </c>
      <c r="G46" s="16" t="str">
        <f>SetEnemy!J51</f>
        <v/>
      </c>
      <c r="H46" s="16">
        <f>SetEnemy!K51</f>
        <v>0</v>
      </c>
      <c r="I46" s="16" t="str">
        <f>SetEnemy!M51</f>
        <v/>
      </c>
      <c r="J46" s="16"/>
      <c r="K46" s="16"/>
      <c r="L46" s="16"/>
      <c r="M46" s="16"/>
      <c r="N46" s="16"/>
    </row>
    <row r="47" spans="1:14" x14ac:dyDescent="0.15">
      <c r="A47" s="15">
        <f>SetEnemy!B52</f>
        <v>0</v>
      </c>
      <c r="B47" s="15" t="str">
        <f>SetEnemy!D52</f>
        <v/>
      </c>
      <c r="C47" s="15">
        <f>SetEnemy!E52</f>
        <v>0</v>
      </c>
      <c r="D47" s="15">
        <f>SetEnemy!F52</f>
        <v>0</v>
      </c>
      <c r="E47" s="15">
        <f>SetEnemy!G52</f>
        <v>0</v>
      </c>
      <c r="F47" s="15">
        <f>SetEnemy!H52</f>
        <v>0</v>
      </c>
      <c r="G47" s="15" t="str">
        <f>SetEnemy!J52</f>
        <v/>
      </c>
      <c r="H47" s="15">
        <f>SetEnemy!K52</f>
        <v>0</v>
      </c>
      <c r="I47" s="15" t="str">
        <f>SetEnemy!M52</f>
        <v/>
      </c>
      <c r="J47" s="15"/>
      <c r="K47" s="15"/>
      <c r="L47" s="15"/>
      <c r="M47" s="15"/>
      <c r="N47" s="15"/>
    </row>
    <row r="48" spans="1:14" x14ac:dyDescent="0.15">
      <c r="A48" s="16">
        <f>SetEnemy!B53</f>
        <v>0</v>
      </c>
      <c r="B48" s="16" t="str">
        <f>SetEnemy!D53</f>
        <v/>
      </c>
      <c r="C48" s="16">
        <f>SetEnemy!E53</f>
        <v>0</v>
      </c>
      <c r="D48" s="16">
        <f>SetEnemy!F53</f>
        <v>0</v>
      </c>
      <c r="E48" s="16">
        <f>SetEnemy!G53</f>
        <v>0</v>
      </c>
      <c r="F48" s="15">
        <f>SetEnemy!H53</f>
        <v>0</v>
      </c>
      <c r="G48" s="16" t="str">
        <f>SetEnemy!J53</f>
        <v/>
      </c>
      <c r="H48" s="16">
        <f>SetEnemy!K53</f>
        <v>0</v>
      </c>
      <c r="I48" s="16" t="str">
        <f>SetEnemy!M53</f>
        <v/>
      </c>
      <c r="J48" s="16"/>
      <c r="K48" s="16"/>
      <c r="L48" s="16"/>
      <c r="M48" s="16"/>
      <c r="N48" s="16"/>
    </row>
    <row r="49" spans="1:14" x14ac:dyDescent="0.15">
      <c r="A49" s="15">
        <f>SetEnemy!B54</f>
        <v>0</v>
      </c>
      <c r="B49" s="15" t="str">
        <f>SetEnemy!D54</f>
        <v/>
      </c>
      <c r="C49" s="15">
        <f>SetEnemy!E54</f>
        <v>0</v>
      </c>
      <c r="D49" s="15">
        <f>SetEnemy!F54</f>
        <v>0</v>
      </c>
      <c r="E49" s="15">
        <f>SetEnemy!G54</f>
        <v>0</v>
      </c>
      <c r="F49" s="15">
        <f>SetEnemy!H54</f>
        <v>0</v>
      </c>
      <c r="G49" s="15" t="str">
        <f>SetEnemy!J54</f>
        <v/>
      </c>
      <c r="H49" s="15">
        <f>SetEnemy!K54</f>
        <v>0</v>
      </c>
      <c r="I49" s="15" t="str">
        <f>SetEnemy!M54</f>
        <v/>
      </c>
      <c r="J49" s="15"/>
      <c r="K49" s="15"/>
      <c r="L49" s="15"/>
      <c r="M49" s="15"/>
      <c r="N49" s="15"/>
    </row>
    <row r="50" spans="1:14" x14ac:dyDescent="0.15">
      <c r="A50" s="16">
        <f>SetEnemy!B55</f>
        <v>0</v>
      </c>
      <c r="B50" s="16" t="str">
        <f>SetEnemy!D55</f>
        <v/>
      </c>
      <c r="C50" s="16">
        <f>SetEnemy!E55</f>
        <v>0</v>
      </c>
      <c r="D50" s="16">
        <f>SetEnemy!F55</f>
        <v>0</v>
      </c>
      <c r="E50" s="16">
        <f>SetEnemy!G55</f>
        <v>0</v>
      </c>
      <c r="F50" s="15">
        <f>SetEnemy!H55</f>
        <v>0</v>
      </c>
      <c r="G50" s="16" t="str">
        <f>SetEnemy!J55</f>
        <v/>
      </c>
      <c r="H50" s="16">
        <f>SetEnemy!K55</f>
        <v>0</v>
      </c>
      <c r="I50" s="16" t="str">
        <f>SetEnemy!M55</f>
        <v/>
      </c>
      <c r="J50" s="16"/>
      <c r="K50" s="16"/>
      <c r="L50" s="16"/>
      <c r="M50" s="16"/>
      <c r="N50" s="16"/>
    </row>
    <row r="51" spans="1:14" x14ac:dyDescent="0.15">
      <c r="A51" s="15">
        <f>SetEnemy!B56</f>
        <v>0</v>
      </c>
      <c r="B51" s="15" t="str">
        <f>SetEnemy!D56</f>
        <v/>
      </c>
      <c r="C51" s="15">
        <f>SetEnemy!E56</f>
        <v>0</v>
      </c>
      <c r="D51" s="15">
        <f>SetEnemy!F56</f>
        <v>0</v>
      </c>
      <c r="E51" s="15">
        <f>SetEnemy!G56</f>
        <v>0</v>
      </c>
      <c r="F51" s="15">
        <f>SetEnemy!H56</f>
        <v>0</v>
      </c>
      <c r="G51" s="15" t="str">
        <f>SetEnemy!J56</f>
        <v/>
      </c>
      <c r="H51" s="15">
        <f>SetEnemy!K56</f>
        <v>0</v>
      </c>
      <c r="I51" s="15" t="str">
        <f>SetEnemy!M56</f>
        <v/>
      </c>
      <c r="J51" s="15"/>
      <c r="K51" s="15"/>
      <c r="L51" s="15"/>
      <c r="M51" s="15"/>
      <c r="N51" s="15"/>
    </row>
    <row r="52" spans="1:14" x14ac:dyDescent="0.15">
      <c r="A52" s="16">
        <f>SetEnemy!B57</f>
        <v>0</v>
      </c>
      <c r="B52" s="16" t="str">
        <f>SetEnemy!D57</f>
        <v/>
      </c>
      <c r="C52" s="16">
        <f>SetEnemy!E57</f>
        <v>0</v>
      </c>
      <c r="D52" s="16">
        <f>SetEnemy!F57</f>
        <v>0</v>
      </c>
      <c r="E52" s="16">
        <f>SetEnemy!G57</f>
        <v>0</v>
      </c>
      <c r="F52" s="15">
        <f>SetEnemy!H57</f>
        <v>0</v>
      </c>
      <c r="G52" s="16" t="str">
        <f>SetEnemy!J57</f>
        <v/>
      </c>
      <c r="H52" s="16">
        <f>SetEnemy!K57</f>
        <v>0</v>
      </c>
      <c r="I52" s="16" t="str">
        <f>SetEnemy!M57</f>
        <v/>
      </c>
      <c r="J52" s="16"/>
      <c r="K52" s="16"/>
      <c r="L52" s="16"/>
      <c r="M52" s="16"/>
      <c r="N52" s="16"/>
    </row>
    <row r="53" spans="1:14" x14ac:dyDescent="0.15">
      <c r="A53" s="15">
        <f>SetEnemy!B58</f>
        <v>0</v>
      </c>
      <c r="B53" s="15" t="str">
        <f>SetEnemy!D58</f>
        <v/>
      </c>
      <c r="C53" s="15">
        <f>SetEnemy!E58</f>
        <v>0</v>
      </c>
      <c r="D53" s="15">
        <f>SetEnemy!F58</f>
        <v>0</v>
      </c>
      <c r="E53" s="15">
        <f>SetEnemy!G58</f>
        <v>0</v>
      </c>
      <c r="F53" s="15">
        <f>SetEnemy!H58</f>
        <v>0</v>
      </c>
      <c r="G53" s="15" t="str">
        <f>SetEnemy!J58</f>
        <v/>
      </c>
      <c r="H53" s="15">
        <f>SetEnemy!K58</f>
        <v>0</v>
      </c>
      <c r="I53" s="15" t="str">
        <f>SetEnemy!M58</f>
        <v/>
      </c>
      <c r="J53" s="15"/>
      <c r="K53" s="15"/>
      <c r="L53" s="15"/>
      <c r="M53" s="15"/>
      <c r="N53" s="15"/>
    </row>
    <row r="54" spans="1:14" x14ac:dyDescent="0.15">
      <c r="A54" s="16">
        <f>SetEnemy!B59</f>
        <v>0</v>
      </c>
      <c r="B54" s="16" t="str">
        <f>SetEnemy!D59</f>
        <v/>
      </c>
      <c r="C54" s="16">
        <f>SetEnemy!E59</f>
        <v>0</v>
      </c>
      <c r="D54" s="16">
        <f>SetEnemy!F59</f>
        <v>0</v>
      </c>
      <c r="E54" s="16">
        <f>SetEnemy!G59</f>
        <v>0</v>
      </c>
      <c r="F54" s="15">
        <f>SetEnemy!H59</f>
        <v>0</v>
      </c>
      <c r="G54" s="16" t="str">
        <f>SetEnemy!J59</f>
        <v/>
      </c>
      <c r="H54" s="16">
        <f>SetEnemy!K59</f>
        <v>0</v>
      </c>
      <c r="I54" s="16" t="str">
        <f>SetEnemy!M59</f>
        <v/>
      </c>
      <c r="J54" s="16"/>
      <c r="K54" s="16"/>
      <c r="L54" s="16"/>
      <c r="M54" s="16"/>
      <c r="N54" s="16"/>
    </row>
    <row r="55" spans="1:14" x14ac:dyDescent="0.15">
      <c r="A55" s="15">
        <f>SetEnemy!B60</f>
        <v>0</v>
      </c>
      <c r="B55" s="15" t="str">
        <f>SetEnemy!D60</f>
        <v/>
      </c>
      <c r="C55" s="15">
        <f>SetEnemy!E60</f>
        <v>0</v>
      </c>
      <c r="D55" s="15">
        <f>SetEnemy!F60</f>
        <v>0</v>
      </c>
      <c r="E55" s="15">
        <f>SetEnemy!G60</f>
        <v>0</v>
      </c>
      <c r="F55" s="15">
        <f>SetEnemy!H60</f>
        <v>0</v>
      </c>
      <c r="G55" s="15" t="str">
        <f>SetEnemy!J60</f>
        <v/>
      </c>
      <c r="H55" s="15">
        <f>SetEnemy!K60</f>
        <v>0</v>
      </c>
      <c r="I55" s="15" t="str">
        <f>SetEnemy!M60</f>
        <v/>
      </c>
      <c r="J55" s="15"/>
      <c r="K55" s="15"/>
      <c r="L55" s="15"/>
      <c r="M55" s="15"/>
      <c r="N55" s="15"/>
    </row>
    <row r="56" spans="1:14" x14ac:dyDescent="0.15">
      <c r="A56" s="16">
        <f>SetEnemy!B61</f>
        <v>0</v>
      </c>
      <c r="B56" s="16" t="str">
        <f>SetEnemy!D61</f>
        <v/>
      </c>
      <c r="C56" s="16">
        <f>SetEnemy!E61</f>
        <v>0</v>
      </c>
      <c r="D56" s="16">
        <f>SetEnemy!F61</f>
        <v>0</v>
      </c>
      <c r="E56" s="16">
        <f>SetEnemy!G61</f>
        <v>0</v>
      </c>
      <c r="F56" s="15">
        <f>SetEnemy!H61</f>
        <v>0</v>
      </c>
      <c r="G56" s="16" t="str">
        <f>SetEnemy!J61</f>
        <v/>
      </c>
      <c r="H56" s="16">
        <f>SetEnemy!K61</f>
        <v>0</v>
      </c>
      <c r="I56" s="16" t="str">
        <f>SetEnemy!M61</f>
        <v/>
      </c>
      <c r="J56" s="16"/>
      <c r="K56" s="16"/>
      <c r="L56" s="16"/>
      <c r="M56" s="16"/>
      <c r="N56" s="16"/>
    </row>
    <row r="57" spans="1:14" x14ac:dyDescent="0.15">
      <c r="A57" s="15">
        <f>SetEnemy!B62</f>
        <v>0</v>
      </c>
      <c r="B57" s="15" t="str">
        <f>SetEnemy!D62</f>
        <v/>
      </c>
      <c r="C57" s="15">
        <f>SetEnemy!E62</f>
        <v>0</v>
      </c>
      <c r="D57" s="15">
        <f>SetEnemy!F62</f>
        <v>0</v>
      </c>
      <c r="E57" s="15">
        <f>SetEnemy!G62</f>
        <v>0</v>
      </c>
      <c r="F57" s="15">
        <f>SetEnemy!H62</f>
        <v>0</v>
      </c>
      <c r="G57" s="15" t="str">
        <f>SetEnemy!J62</f>
        <v/>
      </c>
      <c r="H57" s="15">
        <f>SetEnemy!K62</f>
        <v>0</v>
      </c>
      <c r="I57" s="15" t="str">
        <f>SetEnemy!M62</f>
        <v/>
      </c>
      <c r="J57" s="15"/>
      <c r="K57" s="15"/>
      <c r="L57" s="15"/>
      <c r="M57" s="15"/>
      <c r="N57" s="15"/>
    </row>
    <row r="58" spans="1:14" x14ac:dyDescent="0.15">
      <c r="A58" s="16">
        <f>SetEnemy!B63</f>
        <v>0</v>
      </c>
      <c r="B58" s="16" t="str">
        <f>SetEnemy!D63</f>
        <v/>
      </c>
      <c r="C58" s="16">
        <f>SetEnemy!E63</f>
        <v>0</v>
      </c>
      <c r="D58" s="16">
        <f>SetEnemy!F63</f>
        <v>0</v>
      </c>
      <c r="E58" s="16">
        <f>SetEnemy!G63</f>
        <v>0</v>
      </c>
      <c r="F58" s="15">
        <f>SetEnemy!H63</f>
        <v>0</v>
      </c>
      <c r="G58" s="16" t="str">
        <f>SetEnemy!J63</f>
        <v/>
      </c>
      <c r="H58" s="16">
        <f>SetEnemy!K63</f>
        <v>0</v>
      </c>
      <c r="I58" s="16" t="str">
        <f>SetEnemy!M63</f>
        <v/>
      </c>
      <c r="J58" s="16"/>
      <c r="K58" s="16"/>
      <c r="L58" s="16"/>
      <c r="M58" s="16"/>
      <c r="N58" s="16"/>
    </row>
    <row r="59" spans="1:14" x14ac:dyDescent="0.15">
      <c r="A59" s="15">
        <f>SetEnemy!B64</f>
        <v>0</v>
      </c>
      <c r="B59" s="15" t="str">
        <f>SetEnemy!D64</f>
        <v/>
      </c>
      <c r="C59" s="15">
        <f>SetEnemy!E64</f>
        <v>0</v>
      </c>
      <c r="D59" s="15">
        <f>SetEnemy!F64</f>
        <v>0</v>
      </c>
      <c r="E59" s="15">
        <f>SetEnemy!G64</f>
        <v>0</v>
      </c>
      <c r="F59" s="15">
        <f>SetEnemy!H64</f>
        <v>0</v>
      </c>
      <c r="G59" s="15" t="str">
        <f>SetEnemy!J64</f>
        <v/>
      </c>
      <c r="H59" s="15">
        <f>SetEnemy!K64</f>
        <v>0</v>
      </c>
      <c r="I59" s="15" t="str">
        <f>SetEnemy!M64</f>
        <v/>
      </c>
      <c r="J59" s="15"/>
      <c r="K59" s="15"/>
      <c r="L59" s="15"/>
      <c r="M59" s="15"/>
      <c r="N59" s="15"/>
    </row>
    <row r="60" spans="1:14" x14ac:dyDescent="0.15">
      <c r="A60" s="16">
        <f>SetEnemy!B65</f>
        <v>0</v>
      </c>
      <c r="B60" s="16" t="str">
        <f>SetEnemy!D65</f>
        <v/>
      </c>
      <c r="C60" s="16">
        <f>SetEnemy!E65</f>
        <v>0</v>
      </c>
      <c r="D60" s="16">
        <f>SetEnemy!F65</f>
        <v>0</v>
      </c>
      <c r="E60" s="16">
        <f>SetEnemy!G65</f>
        <v>0</v>
      </c>
      <c r="F60" s="15">
        <f>SetEnemy!H65</f>
        <v>0</v>
      </c>
      <c r="G60" s="16" t="str">
        <f>SetEnemy!J65</f>
        <v/>
      </c>
      <c r="H60" s="16">
        <f>SetEnemy!K65</f>
        <v>0</v>
      </c>
      <c r="I60" s="16" t="str">
        <f>SetEnemy!M65</f>
        <v/>
      </c>
      <c r="J60" s="16"/>
      <c r="K60" s="16"/>
      <c r="L60" s="16"/>
      <c r="M60" s="16"/>
      <c r="N60" s="16"/>
    </row>
    <row r="61" spans="1:14" x14ac:dyDescent="0.15">
      <c r="A61" s="15">
        <f>SetEnemy!B66</f>
        <v>0</v>
      </c>
      <c r="B61" s="15" t="str">
        <f>SetEnemy!D66</f>
        <v/>
      </c>
      <c r="C61" s="15">
        <f>SetEnemy!E66</f>
        <v>0</v>
      </c>
      <c r="D61" s="15">
        <f>SetEnemy!F66</f>
        <v>0</v>
      </c>
      <c r="E61" s="15">
        <f>SetEnemy!G66</f>
        <v>0</v>
      </c>
      <c r="F61" s="15">
        <f>SetEnemy!H66</f>
        <v>0</v>
      </c>
      <c r="G61" s="15" t="str">
        <f>SetEnemy!J66</f>
        <v/>
      </c>
      <c r="H61" s="15">
        <f>SetEnemy!K66</f>
        <v>0</v>
      </c>
      <c r="I61" s="15" t="str">
        <f>SetEnemy!M66</f>
        <v/>
      </c>
      <c r="J61" s="15"/>
      <c r="K61" s="15"/>
      <c r="L61" s="15"/>
      <c r="M61" s="15"/>
      <c r="N61" s="15"/>
    </row>
    <row r="62" spans="1:14" x14ac:dyDescent="0.15">
      <c r="A62" s="16">
        <f>SetEnemy!B67</f>
        <v>0</v>
      </c>
      <c r="B62" s="16" t="str">
        <f>SetEnemy!D67</f>
        <v/>
      </c>
      <c r="C62" s="16">
        <f>SetEnemy!E67</f>
        <v>0</v>
      </c>
      <c r="D62" s="16">
        <f>SetEnemy!F67</f>
        <v>0</v>
      </c>
      <c r="E62" s="16">
        <f>SetEnemy!G67</f>
        <v>0</v>
      </c>
      <c r="F62" s="15">
        <f>SetEnemy!H67</f>
        <v>0</v>
      </c>
      <c r="G62" s="16" t="str">
        <f>SetEnemy!J67</f>
        <v/>
      </c>
      <c r="H62" s="16">
        <f>SetEnemy!K67</f>
        <v>0</v>
      </c>
      <c r="I62" s="16" t="str">
        <f>SetEnemy!M67</f>
        <v/>
      </c>
      <c r="J62" s="16"/>
      <c r="K62" s="16"/>
      <c r="L62" s="16"/>
      <c r="M62" s="16"/>
      <c r="N62" s="16"/>
    </row>
    <row r="63" spans="1:14" x14ac:dyDescent="0.15">
      <c r="A63" s="15">
        <f>SetEnemy!B68</f>
        <v>0</v>
      </c>
      <c r="B63" s="15" t="str">
        <f>SetEnemy!D68</f>
        <v/>
      </c>
      <c r="C63" s="15">
        <f>SetEnemy!E68</f>
        <v>0</v>
      </c>
      <c r="D63" s="15">
        <f>SetEnemy!F68</f>
        <v>0</v>
      </c>
      <c r="E63" s="15">
        <f>SetEnemy!G68</f>
        <v>0</v>
      </c>
      <c r="F63" s="15">
        <f>SetEnemy!H68</f>
        <v>0</v>
      </c>
      <c r="G63" s="15" t="str">
        <f>SetEnemy!J68</f>
        <v/>
      </c>
      <c r="H63" s="15">
        <f>SetEnemy!K68</f>
        <v>0</v>
      </c>
      <c r="I63" s="15" t="str">
        <f>SetEnemy!M68</f>
        <v/>
      </c>
      <c r="J63" s="15"/>
      <c r="K63" s="15"/>
      <c r="L63" s="15"/>
      <c r="M63" s="15"/>
      <c r="N63" s="15"/>
    </row>
    <row r="64" spans="1:14" x14ac:dyDescent="0.15">
      <c r="A64" s="16">
        <f>SetEnemy!B69</f>
        <v>0</v>
      </c>
      <c r="B64" s="16" t="str">
        <f>SetEnemy!D69</f>
        <v/>
      </c>
      <c r="C64" s="16">
        <f>SetEnemy!E69</f>
        <v>0</v>
      </c>
      <c r="D64" s="16">
        <f>SetEnemy!F69</f>
        <v>0</v>
      </c>
      <c r="E64" s="16">
        <f>SetEnemy!G69</f>
        <v>0</v>
      </c>
      <c r="F64" s="15">
        <f>SetEnemy!H69</f>
        <v>0</v>
      </c>
      <c r="G64" s="16" t="str">
        <f>SetEnemy!J69</f>
        <v/>
      </c>
      <c r="H64" s="16">
        <f>SetEnemy!K69</f>
        <v>0</v>
      </c>
      <c r="I64" s="16" t="str">
        <f>SetEnemy!M69</f>
        <v/>
      </c>
      <c r="J64" s="16"/>
      <c r="K64" s="16"/>
      <c r="L64" s="16"/>
      <c r="M64" s="16"/>
      <c r="N64" s="16"/>
    </row>
    <row r="65" spans="1:14" x14ac:dyDescent="0.15">
      <c r="A65" s="15">
        <f>SetEnemy!B70</f>
        <v>0</v>
      </c>
      <c r="B65" s="15" t="str">
        <f>SetEnemy!D70</f>
        <v/>
      </c>
      <c r="C65" s="15">
        <f>SetEnemy!E70</f>
        <v>0</v>
      </c>
      <c r="D65" s="15">
        <f>SetEnemy!F70</f>
        <v>0</v>
      </c>
      <c r="E65" s="15">
        <f>SetEnemy!G70</f>
        <v>0</v>
      </c>
      <c r="F65" s="15">
        <f>SetEnemy!H70</f>
        <v>0</v>
      </c>
      <c r="G65" s="15" t="str">
        <f>SetEnemy!J70</f>
        <v/>
      </c>
      <c r="H65" s="15">
        <f>SetEnemy!K70</f>
        <v>0</v>
      </c>
      <c r="I65" s="15" t="str">
        <f>SetEnemy!M70</f>
        <v/>
      </c>
      <c r="J65" s="15"/>
      <c r="K65" s="15"/>
      <c r="L65" s="15"/>
      <c r="M65" s="15"/>
      <c r="N65" s="15"/>
    </row>
    <row r="66" spans="1:14" x14ac:dyDescent="0.15">
      <c r="A66" s="16">
        <f>SetEnemy!B71</f>
        <v>0</v>
      </c>
      <c r="B66" s="16" t="str">
        <f>SetEnemy!D71</f>
        <v/>
      </c>
      <c r="C66" s="16">
        <f>SetEnemy!E71</f>
        <v>0</v>
      </c>
      <c r="D66" s="16">
        <f>SetEnemy!F71</f>
        <v>0</v>
      </c>
      <c r="E66" s="16">
        <f>SetEnemy!G71</f>
        <v>0</v>
      </c>
      <c r="F66" s="15">
        <f>SetEnemy!H71</f>
        <v>0</v>
      </c>
      <c r="G66" s="16" t="str">
        <f>SetEnemy!J71</f>
        <v/>
      </c>
      <c r="H66" s="16">
        <f>SetEnemy!K71</f>
        <v>0</v>
      </c>
      <c r="I66" s="16" t="str">
        <f>SetEnemy!M71</f>
        <v/>
      </c>
      <c r="J66" s="16"/>
      <c r="K66" s="16"/>
      <c r="L66" s="16"/>
      <c r="M66" s="16"/>
      <c r="N66" s="16"/>
    </row>
    <row r="67" spans="1:14" x14ac:dyDescent="0.15">
      <c r="A67" s="15">
        <f>SetEnemy!B72</f>
        <v>0</v>
      </c>
      <c r="B67" s="15" t="str">
        <f>SetEnemy!D72</f>
        <v/>
      </c>
      <c r="C67" s="15">
        <f>SetEnemy!E72</f>
        <v>0</v>
      </c>
      <c r="D67" s="15">
        <f>SetEnemy!F72</f>
        <v>0</v>
      </c>
      <c r="E67" s="15">
        <f>SetEnemy!G72</f>
        <v>0</v>
      </c>
      <c r="F67" s="15">
        <f>SetEnemy!H72</f>
        <v>0</v>
      </c>
      <c r="G67" s="15" t="str">
        <f>SetEnemy!J72</f>
        <v/>
      </c>
      <c r="H67" s="15">
        <f>SetEnemy!K72</f>
        <v>0</v>
      </c>
      <c r="I67" s="15" t="str">
        <f>SetEnemy!M72</f>
        <v/>
      </c>
      <c r="J67" s="15"/>
      <c r="K67" s="15"/>
      <c r="L67" s="15"/>
      <c r="M67" s="15"/>
      <c r="N67" s="15"/>
    </row>
    <row r="68" spans="1:14" x14ac:dyDescent="0.15">
      <c r="A68" s="16">
        <f>SetEnemy!B73</f>
        <v>0</v>
      </c>
      <c r="B68" s="16" t="str">
        <f>SetEnemy!D73</f>
        <v/>
      </c>
      <c r="C68" s="16">
        <f>SetEnemy!E73</f>
        <v>0</v>
      </c>
      <c r="D68" s="16">
        <f>SetEnemy!F73</f>
        <v>0</v>
      </c>
      <c r="E68" s="16">
        <f>SetEnemy!G73</f>
        <v>0</v>
      </c>
      <c r="F68" s="15">
        <f>SetEnemy!H73</f>
        <v>0</v>
      </c>
      <c r="G68" s="16" t="str">
        <f>SetEnemy!J73</f>
        <v/>
      </c>
      <c r="H68" s="16">
        <f>SetEnemy!K73</f>
        <v>0</v>
      </c>
      <c r="I68" s="16" t="str">
        <f>SetEnemy!M73</f>
        <v/>
      </c>
      <c r="J68" s="16"/>
      <c r="K68" s="16"/>
      <c r="L68" s="16"/>
      <c r="M68" s="16"/>
      <c r="N68" s="16"/>
    </row>
    <row r="69" spans="1:14" x14ac:dyDescent="0.15">
      <c r="A69" s="15">
        <f>SetEnemy!B74</f>
        <v>0</v>
      </c>
      <c r="B69" s="15" t="str">
        <f>SetEnemy!D74</f>
        <v/>
      </c>
      <c r="C69" s="15">
        <f>SetEnemy!E74</f>
        <v>0</v>
      </c>
      <c r="D69" s="15">
        <f>SetEnemy!F74</f>
        <v>0</v>
      </c>
      <c r="E69" s="15">
        <f>SetEnemy!G74</f>
        <v>0</v>
      </c>
      <c r="F69" s="15">
        <f>SetEnemy!H74</f>
        <v>0</v>
      </c>
      <c r="G69" s="15" t="str">
        <f>SetEnemy!J74</f>
        <v/>
      </c>
      <c r="H69" s="15">
        <f>SetEnemy!K74</f>
        <v>0</v>
      </c>
      <c r="I69" s="15" t="str">
        <f>SetEnemy!M74</f>
        <v/>
      </c>
      <c r="J69" s="15"/>
      <c r="K69" s="15"/>
      <c r="L69" s="15"/>
      <c r="M69" s="15"/>
      <c r="N69" s="15"/>
    </row>
    <row r="70" spans="1:14" x14ac:dyDescent="0.15">
      <c r="A70" s="16">
        <f>SetEnemy!B75</f>
        <v>0</v>
      </c>
      <c r="B70" s="16" t="str">
        <f>SetEnemy!D75</f>
        <v/>
      </c>
      <c r="C70" s="16">
        <f>SetEnemy!E75</f>
        <v>0</v>
      </c>
      <c r="D70" s="16">
        <f>SetEnemy!F75</f>
        <v>0</v>
      </c>
      <c r="E70" s="16">
        <f>SetEnemy!G75</f>
        <v>0</v>
      </c>
      <c r="F70" s="15">
        <f>SetEnemy!H75</f>
        <v>0</v>
      </c>
      <c r="G70" s="16" t="str">
        <f>SetEnemy!J75</f>
        <v/>
      </c>
      <c r="H70" s="16">
        <f>SetEnemy!K75</f>
        <v>0</v>
      </c>
      <c r="I70" s="16" t="str">
        <f>SetEnemy!M75</f>
        <v/>
      </c>
      <c r="J70" s="16"/>
      <c r="K70" s="16"/>
      <c r="L70" s="16"/>
      <c r="M70" s="16"/>
      <c r="N70" s="16"/>
    </row>
    <row r="71" spans="1:14" x14ac:dyDescent="0.15">
      <c r="A71" s="15">
        <f>SetEnemy!B76</f>
        <v>0</v>
      </c>
      <c r="B71" s="15" t="str">
        <f>SetEnemy!D76</f>
        <v/>
      </c>
      <c r="C71" s="15">
        <f>SetEnemy!E76</f>
        <v>0</v>
      </c>
      <c r="D71" s="15">
        <f>SetEnemy!F76</f>
        <v>0</v>
      </c>
      <c r="E71" s="15">
        <f>SetEnemy!G76</f>
        <v>0</v>
      </c>
      <c r="F71" s="15">
        <f>SetEnemy!H76</f>
        <v>0</v>
      </c>
      <c r="G71" s="15" t="str">
        <f>SetEnemy!J76</f>
        <v/>
      </c>
      <c r="H71" s="15">
        <f>SetEnemy!K76</f>
        <v>0</v>
      </c>
      <c r="I71" s="15" t="str">
        <f>SetEnemy!M76</f>
        <v/>
      </c>
      <c r="J71" s="15"/>
      <c r="K71" s="15"/>
      <c r="L71" s="15"/>
      <c r="M71" s="15"/>
      <c r="N71" s="15"/>
    </row>
    <row r="72" spans="1:14" x14ac:dyDescent="0.15">
      <c r="A72" s="16">
        <f>SetEnemy!B77</f>
        <v>0</v>
      </c>
      <c r="B72" s="16" t="str">
        <f>SetEnemy!D77</f>
        <v/>
      </c>
      <c r="C72" s="16">
        <f>SetEnemy!E77</f>
        <v>0</v>
      </c>
      <c r="D72" s="16">
        <f>SetEnemy!F77</f>
        <v>0</v>
      </c>
      <c r="E72" s="16">
        <f>SetEnemy!G77</f>
        <v>0</v>
      </c>
      <c r="F72" s="15">
        <f>SetEnemy!H77</f>
        <v>0</v>
      </c>
      <c r="G72" s="16" t="str">
        <f>SetEnemy!J77</f>
        <v/>
      </c>
      <c r="H72" s="16">
        <f>SetEnemy!K77</f>
        <v>0</v>
      </c>
      <c r="I72" s="16" t="str">
        <f>SetEnemy!M77</f>
        <v/>
      </c>
      <c r="J72" s="16"/>
      <c r="K72" s="16"/>
      <c r="L72" s="16"/>
      <c r="M72" s="16"/>
      <c r="N72" s="16"/>
    </row>
    <row r="73" spans="1:14" x14ac:dyDescent="0.15">
      <c r="A73" s="15">
        <f>SetEnemy!B78</f>
        <v>0</v>
      </c>
      <c r="B73" s="15" t="str">
        <f>SetEnemy!D78</f>
        <v/>
      </c>
      <c r="C73" s="15">
        <f>SetEnemy!E78</f>
        <v>0</v>
      </c>
      <c r="D73" s="15">
        <f>SetEnemy!F78</f>
        <v>0</v>
      </c>
      <c r="E73" s="15">
        <f>SetEnemy!G78</f>
        <v>0</v>
      </c>
      <c r="F73" s="15">
        <f>SetEnemy!H78</f>
        <v>0</v>
      </c>
      <c r="G73" s="15" t="str">
        <f>SetEnemy!J78</f>
        <v/>
      </c>
      <c r="H73" s="15">
        <f>SetEnemy!K78</f>
        <v>0</v>
      </c>
      <c r="I73" s="15" t="str">
        <f>SetEnemy!M78</f>
        <v/>
      </c>
      <c r="J73" s="15"/>
      <c r="K73" s="15"/>
      <c r="L73" s="15"/>
      <c r="M73" s="15"/>
      <c r="N73" s="15"/>
    </row>
    <row r="74" spans="1:14" x14ac:dyDescent="0.15">
      <c r="A74" s="16">
        <f>SetEnemy!B79</f>
        <v>0</v>
      </c>
      <c r="B74" s="16" t="str">
        <f>SetEnemy!D79</f>
        <v/>
      </c>
      <c r="C74" s="16">
        <f>SetEnemy!E79</f>
        <v>0</v>
      </c>
      <c r="D74" s="16">
        <f>SetEnemy!F79</f>
        <v>0</v>
      </c>
      <c r="E74" s="16">
        <f>SetEnemy!G79</f>
        <v>0</v>
      </c>
      <c r="F74" s="15">
        <f>SetEnemy!H79</f>
        <v>0</v>
      </c>
      <c r="G74" s="16" t="str">
        <f>SetEnemy!J79</f>
        <v/>
      </c>
      <c r="H74" s="16">
        <f>SetEnemy!K79</f>
        <v>0</v>
      </c>
      <c r="I74" s="16" t="str">
        <f>SetEnemy!M79</f>
        <v/>
      </c>
      <c r="J74" s="16"/>
      <c r="K74" s="16"/>
      <c r="L74" s="16"/>
      <c r="M74" s="16"/>
      <c r="N74" s="16"/>
    </row>
    <row r="75" spans="1:14" x14ac:dyDescent="0.15">
      <c r="A75" s="15">
        <f>SetEnemy!B80</f>
        <v>0</v>
      </c>
      <c r="B75" s="15" t="str">
        <f>SetEnemy!D80</f>
        <v/>
      </c>
      <c r="C75" s="15">
        <f>SetEnemy!E80</f>
        <v>0</v>
      </c>
      <c r="D75" s="15">
        <f>SetEnemy!F80</f>
        <v>0</v>
      </c>
      <c r="E75" s="15">
        <f>SetEnemy!G80</f>
        <v>0</v>
      </c>
      <c r="F75" s="15">
        <f>SetEnemy!H80</f>
        <v>0</v>
      </c>
      <c r="G75" s="15" t="str">
        <f>SetEnemy!J80</f>
        <v/>
      </c>
      <c r="H75" s="15">
        <f>SetEnemy!K80</f>
        <v>0</v>
      </c>
      <c r="I75" s="15" t="str">
        <f>SetEnemy!M80</f>
        <v/>
      </c>
      <c r="J75" s="15"/>
      <c r="K75" s="15"/>
      <c r="L75" s="15"/>
      <c r="M75" s="15"/>
      <c r="N75" s="15"/>
    </row>
    <row r="76" spans="1:14" x14ac:dyDescent="0.15">
      <c r="A76" s="16">
        <f>SetEnemy!B81</f>
        <v>0</v>
      </c>
      <c r="B76" s="16" t="str">
        <f>SetEnemy!D81</f>
        <v/>
      </c>
      <c r="C76" s="16">
        <f>SetEnemy!E81</f>
        <v>0</v>
      </c>
      <c r="D76" s="16">
        <f>SetEnemy!F81</f>
        <v>0</v>
      </c>
      <c r="E76" s="16">
        <f>SetEnemy!G81</f>
        <v>0</v>
      </c>
      <c r="F76" s="15">
        <f>SetEnemy!H81</f>
        <v>0</v>
      </c>
      <c r="G76" s="16" t="str">
        <f>SetEnemy!J81</f>
        <v/>
      </c>
      <c r="H76" s="16">
        <f>SetEnemy!K81</f>
        <v>0</v>
      </c>
      <c r="I76" s="16" t="str">
        <f>SetEnemy!M81</f>
        <v/>
      </c>
      <c r="J76" s="16"/>
      <c r="K76" s="16"/>
      <c r="L76" s="16"/>
      <c r="M76" s="16"/>
      <c r="N76" s="16"/>
    </row>
    <row r="77" spans="1:14" x14ac:dyDescent="0.15">
      <c r="A77" s="15">
        <f>SetEnemy!B82</f>
        <v>0</v>
      </c>
      <c r="B77" s="15" t="str">
        <f>SetEnemy!D82</f>
        <v/>
      </c>
      <c r="C77" s="15">
        <f>SetEnemy!E82</f>
        <v>0</v>
      </c>
      <c r="D77" s="15">
        <f>SetEnemy!F82</f>
        <v>0</v>
      </c>
      <c r="E77" s="15">
        <f>SetEnemy!G82</f>
        <v>0</v>
      </c>
      <c r="F77" s="15">
        <f>SetEnemy!H82</f>
        <v>0</v>
      </c>
      <c r="G77" s="15" t="str">
        <f>SetEnemy!J82</f>
        <v/>
      </c>
      <c r="H77" s="15">
        <f>SetEnemy!K82</f>
        <v>0</v>
      </c>
      <c r="I77" s="15" t="str">
        <f>SetEnemy!M82</f>
        <v/>
      </c>
      <c r="J77" s="15"/>
      <c r="K77" s="15"/>
      <c r="L77" s="15"/>
      <c r="M77" s="15"/>
      <c r="N77" s="15"/>
    </row>
    <row r="78" spans="1:14" x14ac:dyDescent="0.15">
      <c r="A78" s="16">
        <f>SetEnemy!B83</f>
        <v>0</v>
      </c>
      <c r="B78" s="16" t="str">
        <f>SetEnemy!D83</f>
        <v/>
      </c>
      <c r="C78" s="16">
        <f>SetEnemy!E83</f>
        <v>0</v>
      </c>
      <c r="D78" s="16">
        <f>SetEnemy!F83</f>
        <v>0</v>
      </c>
      <c r="E78" s="16">
        <f>SetEnemy!G83</f>
        <v>0</v>
      </c>
      <c r="F78" s="15">
        <f>SetEnemy!H83</f>
        <v>0</v>
      </c>
      <c r="G78" s="16" t="str">
        <f>SetEnemy!J83</f>
        <v/>
      </c>
      <c r="H78" s="16">
        <f>SetEnemy!K83</f>
        <v>0</v>
      </c>
      <c r="I78" s="16" t="str">
        <f>SetEnemy!M83</f>
        <v/>
      </c>
      <c r="J78" s="16"/>
      <c r="K78" s="16"/>
      <c r="L78" s="16"/>
      <c r="M78" s="16"/>
      <c r="N78" s="16"/>
    </row>
    <row r="79" spans="1:14" x14ac:dyDescent="0.15">
      <c r="A79" s="15">
        <f>SetEnemy!B84</f>
        <v>0</v>
      </c>
      <c r="B79" s="15" t="str">
        <f>SetEnemy!D84</f>
        <v/>
      </c>
      <c r="C79" s="15">
        <f>SetEnemy!E84</f>
        <v>0</v>
      </c>
      <c r="D79" s="15">
        <f>SetEnemy!F84</f>
        <v>0</v>
      </c>
      <c r="E79" s="15">
        <f>SetEnemy!G84</f>
        <v>0</v>
      </c>
      <c r="F79" s="15">
        <f>SetEnemy!H84</f>
        <v>0</v>
      </c>
      <c r="G79" s="15" t="str">
        <f>SetEnemy!J84</f>
        <v/>
      </c>
      <c r="H79" s="15">
        <f>SetEnemy!K84</f>
        <v>0</v>
      </c>
      <c r="I79" s="15" t="str">
        <f>SetEnemy!M84</f>
        <v/>
      </c>
      <c r="J79" s="15"/>
      <c r="K79" s="15"/>
      <c r="L79" s="15"/>
      <c r="M79" s="15"/>
      <c r="N79" s="15"/>
    </row>
    <row r="80" spans="1:14" x14ac:dyDescent="0.15">
      <c r="A80" s="16">
        <f>SetEnemy!B85</f>
        <v>0</v>
      </c>
      <c r="B80" s="16" t="str">
        <f>SetEnemy!D85</f>
        <v/>
      </c>
      <c r="C80" s="16">
        <f>SetEnemy!E85</f>
        <v>0</v>
      </c>
      <c r="D80" s="16">
        <f>SetEnemy!F85</f>
        <v>0</v>
      </c>
      <c r="E80" s="16">
        <f>SetEnemy!G85</f>
        <v>0</v>
      </c>
      <c r="F80" s="15">
        <f>SetEnemy!H85</f>
        <v>0</v>
      </c>
      <c r="G80" s="16" t="str">
        <f>SetEnemy!J85</f>
        <v/>
      </c>
      <c r="H80" s="16">
        <f>SetEnemy!K85</f>
        <v>0</v>
      </c>
      <c r="I80" s="16" t="str">
        <f>SetEnemy!M85</f>
        <v/>
      </c>
      <c r="J80" s="16"/>
      <c r="K80" s="16"/>
      <c r="L80" s="16"/>
      <c r="M80" s="16"/>
      <c r="N80" s="16"/>
    </row>
    <row r="81" spans="1:14" x14ac:dyDescent="0.15">
      <c r="A81" s="15">
        <f>SetEnemy!B86</f>
        <v>0</v>
      </c>
      <c r="B81" s="15" t="str">
        <f>SetEnemy!D86</f>
        <v/>
      </c>
      <c r="C81" s="15">
        <f>SetEnemy!E86</f>
        <v>0</v>
      </c>
      <c r="D81" s="15">
        <f>SetEnemy!F86</f>
        <v>0</v>
      </c>
      <c r="E81" s="15">
        <f>SetEnemy!G86</f>
        <v>0</v>
      </c>
      <c r="F81" s="15">
        <f>SetEnemy!H86</f>
        <v>0</v>
      </c>
      <c r="G81" s="15" t="str">
        <f>SetEnemy!J86</f>
        <v/>
      </c>
      <c r="H81" s="15">
        <f>SetEnemy!K86</f>
        <v>0</v>
      </c>
      <c r="I81" s="15" t="str">
        <f>SetEnemy!M86</f>
        <v/>
      </c>
      <c r="J81" s="15"/>
      <c r="K81" s="15"/>
      <c r="L81" s="15"/>
      <c r="M81" s="15"/>
      <c r="N81" s="15"/>
    </row>
    <row r="82" spans="1:14" x14ac:dyDescent="0.15">
      <c r="A82" s="16">
        <f>SetEnemy!B87</f>
        <v>0</v>
      </c>
      <c r="B82" s="16" t="str">
        <f>SetEnemy!D87</f>
        <v/>
      </c>
      <c r="C82" s="16">
        <f>SetEnemy!E87</f>
        <v>0</v>
      </c>
      <c r="D82" s="16">
        <f>SetEnemy!F87</f>
        <v>0</v>
      </c>
      <c r="E82" s="16">
        <f>SetEnemy!G87</f>
        <v>0</v>
      </c>
      <c r="F82" s="15">
        <f>SetEnemy!H87</f>
        <v>0</v>
      </c>
      <c r="G82" s="16" t="str">
        <f>SetEnemy!J87</f>
        <v/>
      </c>
      <c r="H82" s="16">
        <f>SetEnemy!K87</f>
        <v>0</v>
      </c>
      <c r="I82" s="16" t="str">
        <f>SetEnemy!M87</f>
        <v/>
      </c>
      <c r="J82" s="16"/>
      <c r="K82" s="16"/>
      <c r="L82" s="16"/>
      <c r="M82" s="16"/>
      <c r="N82" s="16"/>
    </row>
    <row r="83" spans="1:14" x14ac:dyDescent="0.15">
      <c r="A83" s="15">
        <f>SetEnemy!B88</f>
        <v>0</v>
      </c>
      <c r="B83" s="15" t="str">
        <f>SetEnemy!D88</f>
        <v/>
      </c>
      <c r="C83" s="15">
        <f>SetEnemy!E88</f>
        <v>0</v>
      </c>
      <c r="D83" s="15">
        <f>SetEnemy!F88</f>
        <v>0</v>
      </c>
      <c r="E83" s="15">
        <f>SetEnemy!G88</f>
        <v>0</v>
      </c>
      <c r="F83" s="15">
        <f>SetEnemy!H88</f>
        <v>0</v>
      </c>
      <c r="G83" s="15" t="str">
        <f>SetEnemy!J88</f>
        <v/>
      </c>
      <c r="H83" s="15">
        <f>SetEnemy!K88</f>
        <v>0</v>
      </c>
      <c r="I83" s="15" t="str">
        <f>SetEnemy!M88</f>
        <v/>
      </c>
      <c r="J83" s="15"/>
      <c r="K83" s="15"/>
      <c r="L83" s="15"/>
      <c r="M83" s="15"/>
      <c r="N83" s="15"/>
    </row>
    <row r="84" spans="1:14" x14ac:dyDescent="0.15">
      <c r="A84" s="16">
        <f>SetEnemy!B89</f>
        <v>0</v>
      </c>
      <c r="B84" s="16" t="str">
        <f>SetEnemy!D89</f>
        <v/>
      </c>
      <c r="C84" s="16">
        <f>SetEnemy!E89</f>
        <v>0</v>
      </c>
      <c r="D84" s="16">
        <f>SetEnemy!F89</f>
        <v>0</v>
      </c>
      <c r="E84" s="16">
        <f>SetEnemy!G89</f>
        <v>0</v>
      </c>
      <c r="F84" s="15">
        <f>SetEnemy!H89</f>
        <v>0</v>
      </c>
      <c r="G84" s="16" t="str">
        <f>SetEnemy!J89</f>
        <v/>
      </c>
      <c r="H84" s="16">
        <f>SetEnemy!K89</f>
        <v>0</v>
      </c>
      <c r="I84" s="16" t="str">
        <f>SetEnemy!M89</f>
        <v/>
      </c>
      <c r="J84" s="16"/>
      <c r="K84" s="16"/>
      <c r="L84" s="16"/>
      <c r="M84" s="16"/>
      <c r="N84" s="16"/>
    </row>
    <row r="85" spans="1:14" x14ac:dyDescent="0.15">
      <c r="A85" s="15">
        <f>SetEnemy!B90</f>
        <v>0</v>
      </c>
      <c r="B85" s="15" t="str">
        <f>SetEnemy!D90</f>
        <v/>
      </c>
      <c r="C85" s="15">
        <f>SetEnemy!E90</f>
        <v>0</v>
      </c>
      <c r="D85" s="15">
        <f>SetEnemy!F90</f>
        <v>0</v>
      </c>
      <c r="E85" s="15">
        <f>SetEnemy!G90</f>
        <v>0</v>
      </c>
      <c r="F85" s="15">
        <f>SetEnemy!H90</f>
        <v>0</v>
      </c>
      <c r="G85" s="15" t="str">
        <f>SetEnemy!J90</f>
        <v/>
      </c>
      <c r="H85" s="15">
        <f>SetEnemy!K90</f>
        <v>0</v>
      </c>
      <c r="I85" s="15" t="str">
        <f>SetEnemy!M90</f>
        <v/>
      </c>
      <c r="J85" s="15"/>
      <c r="K85" s="15"/>
      <c r="L85" s="15"/>
      <c r="M85" s="15"/>
      <c r="N85" s="15"/>
    </row>
    <row r="86" spans="1:14" x14ac:dyDescent="0.15">
      <c r="A86" s="16">
        <f>SetEnemy!B91</f>
        <v>0</v>
      </c>
      <c r="B86" s="16" t="str">
        <f>SetEnemy!D91</f>
        <v/>
      </c>
      <c r="C86" s="16">
        <f>SetEnemy!E91</f>
        <v>0</v>
      </c>
      <c r="D86" s="16">
        <f>SetEnemy!F91</f>
        <v>0</v>
      </c>
      <c r="E86" s="16">
        <f>SetEnemy!G91</f>
        <v>0</v>
      </c>
      <c r="F86" s="15">
        <f>SetEnemy!H91</f>
        <v>0</v>
      </c>
      <c r="G86" s="16" t="str">
        <f>SetEnemy!J91</f>
        <v/>
      </c>
      <c r="H86" s="16">
        <f>SetEnemy!K91</f>
        <v>0</v>
      </c>
      <c r="I86" s="16" t="str">
        <f>SetEnemy!M91</f>
        <v/>
      </c>
      <c r="J86" s="16"/>
      <c r="K86" s="16"/>
      <c r="L86" s="16"/>
      <c r="M86" s="16"/>
      <c r="N86" s="16"/>
    </row>
    <row r="87" spans="1:14" x14ac:dyDescent="0.15">
      <c r="A87" s="15">
        <f>SetEnemy!B92</f>
        <v>0</v>
      </c>
      <c r="B87" s="15" t="str">
        <f>SetEnemy!D92</f>
        <v/>
      </c>
      <c r="C87" s="15">
        <f>SetEnemy!E92</f>
        <v>0</v>
      </c>
      <c r="D87" s="15">
        <f>SetEnemy!F92</f>
        <v>0</v>
      </c>
      <c r="E87" s="15">
        <f>SetEnemy!G92</f>
        <v>0</v>
      </c>
      <c r="F87" s="15">
        <f>SetEnemy!H92</f>
        <v>0</v>
      </c>
      <c r="G87" s="15" t="str">
        <f>SetEnemy!J92</f>
        <v/>
      </c>
      <c r="H87" s="15">
        <f>SetEnemy!K92</f>
        <v>0</v>
      </c>
      <c r="I87" s="15" t="str">
        <f>SetEnemy!M92</f>
        <v/>
      </c>
      <c r="J87" s="15"/>
      <c r="K87" s="15"/>
      <c r="L87" s="15"/>
      <c r="M87" s="15"/>
      <c r="N87" s="15"/>
    </row>
    <row r="88" spans="1:14" x14ac:dyDescent="0.15">
      <c r="A88" s="16">
        <f>SetEnemy!B93</f>
        <v>0</v>
      </c>
      <c r="B88" s="16" t="str">
        <f>SetEnemy!D93</f>
        <v/>
      </c>
      <c r="C88" s="16">
        <f>SetEnemy!E93</f>
        <v>0</v>
      </c>
      <c r="D88" s="16">
        <f>SetEnemy!F93</f>
        <v>0</v>
      </c>
      <c r="E88" s="16">
        <f>SetEnemy!G93</f>
        <v>0</v>
      </c>
      <c r="F88" s="15">
        <f>SetEnemy!H93</f>
        <v>0</v>
      </c>
      <c r="G88" s="16" t="str">
        <f>SetEnemy!J93</f>
        <v/>
      </c>
      <c r="H88" s="16">
        <f>SetEnemy!K93</f>
        <v>0</v>
      </c>
      <c r="I88" s="16" t="str">
        <f>SetEnemy!M93</f>
        <v/>
      </c>
      <c r="J88" s="16"/>
      <c r="K88" s="16"/>
      <c r="L88" s="16"/>
      <c r="M88" s="16"/>
      <c r="N88" s="16"/>
    </row>
    <row r="89" spans="1:14" x14ac:dyDescent="0.15">
      <c r="A89" s="15">
        <f>SetEnemy!B94</f>
        <v>0</v>
      </c>
      <c r="B89" s="15" t="str">
        <f>SetEnemy!D94</f>
        <v/>
      </c>
      <c r="C89" s="15">
        <f>SetEnemy!E94</f>
        <v>0</v>
      </c>
      <c r="D89" s="15">
        <f>SetEnemy!F94</f>
        <v>0</v>
      </c>
      <c r="E89" s="15">
        <f>SetEnemy!G94</f>
        <v>0</v>
      </c>
      <c r="F89" s="15">
        <f>SetEnemy!H94</f>
        <v>0</v>
      </c>
      <c r="G89" s="15" t="str">
        <f>SetEnemy!J94</f>
        <v/>
      </c>
      <c r="H89" s="15">
        <f>SetEnemy!K94</f>
        <v>0</v>
      </c>
      <c r="I89" s="15" t="str">
        <f>SetEnemy!M94</f>
        <v/>
      </c>
      <c r="J89" s="15"/>
      <c r="K89" s="15"/>
      <c r="L89" s="15"/>
      <c r="M89" s="15"/>
      <c r="N89" s="15"/>
    </row>
    <row r="90" spans="1:14" x14ac:dyDescent="0.15">
      <c r="A90" s="16">
        <f>SetEnemy!B95</f>
        <v>0</v>
      </c>
      <c r="B90" s="16" t="str">
        <f>SetEnemy!D95</f>
        <v/>
      </c>
      <c r="C90" s="16">
        <f>SetEnemy!E95</f>
        <v>0</v>
      </c>
      <c r="D90" s="16">
        <f>SetEnemy!F95</f>
        <v>0</v>
      </c>
      <c r="E90" s="16">
        <f>SetEnemy!G95</f>
        <v>0</v>
      </c>
      <c r="F90" s="15">
        <f>SetEnemy!H95</f>
        <v>0</v>
      </c>
      <c r="G90" s="16" t="str">
        <f>SetEnemy!J95</f>
        <v/>
      </c>
      <c r="H90" s="16">
        <f>SetEnemy!K95</f>
        <v>0</v>
      </c>
      <c r="I90" s="16" t="str">
        <f>SetEnemy!M95</f>
        <v/>
      </c>
      <c r="J90" s="16"/>
      <c r="K90" s="16"/>
      <c r="L90" s="16"/>
      <c r="M90" s="16"/>
      <c r="N90" s="16"/>
    </row>
    <row r="91" spans="1:14" x14ac:dyDescent="0.15">
      <c r="A91" s="15">
        <f>SetEnemy!B96</f>
        <v>0</v>
      </c>
      <c r="B91" s="15" t="str">
        <f>SetEnemy!D96</f>
        <v/>
      </c>
      <c r="C91" s="15">
        <f>SetEnemy!E96</f>
        <v>0</v>
      </c>
      <c r="D91" s="15">
        <f>SetEnemy!F96</f>
        <v>0</v>
      </c>
      <c r="E91" s="15">
        <f>SetEnemy!G96</f>
        <v>0</v>
      </c>
      <c r="F91" s="15">
        <f>SetEnemy!H96</f>
        <v>0</v>
      </c>
      <c r="G91" s="15" t="str">
        <f>SetEnemy!J96</f>
        <v/>
      </c>
      <c r="H91" s="15">
        <f>SetEnemy!K96</f>
        <v>0</v>
      </c>
      <c r="I91" s="15" t="str">
        <f>SetEnemy!M96</f>
        <v/>
      </c>
      <c r="J91" s="15"/>
      <c r="K91" s="15"/>
      <c r="L91" s="15"/>
      <c r="M91" s="15"/>
      <c r="N91" s="15"/>
    </row>
    <row r="92" spans="1:14" x14ac:dyDescent="0.15">
      <c r="A92" s="16">
        <f>SetEnemy!B97</f>
        <v>0</v>
      </c>
      <c r="B92" s="16" t="str">
        <f>SetEnemy!D97</f>
        <v/>
      </c>
      <c r="C92" s="16">
        <f>SetEnemy!E97</f>
        <v>0</v>
      </c>
      <c r="D92" s="16">
        <f>SetEnemy!F97</f>
        <v>0</v>
      </c>
      <c r="E92" s="16">
        <f>SetEnemy!G97</f>
        <v>0</v>
      </c>
      <c r="F92" s="15">
        <f>SetEnemy!H97</f>
        <v>0</v>
      </c>
      <c r="G92" s="16" t="str">
        <f>SetEnemy!J97</f>
        <v/>
      </c>
      <c r="H92" s="16">
        <f>SetEnemy!K97</f>
        <v>0</v>
      </c>
      <c r="I92" s="16" t="str">
        <f>SetEnemy!M97</f>
        <v/>
      </c>
      <c r="J92" s="16"/>
      <c r="K92" s="16"/>
      <c r="L92" s="16"/>
      <c r="M92" s="16"/>
      <c r="N92" s="16"/>
    </row>
    <row r="93" spans="1:14" x14ac:dyDescent="0.15">
      <c r="A93" s="15">
        <f>SetEnemy!B98</f>
        <v>0</v>
      </c>
      <c r="B93" s="15" t="str">
        <f>SetEnemy!D98</f>
        <v/>
      </c>
      <c r="C93" s="15">
        <f>SetEnemy!E98</f>
        <v>0</v>
      </c>
      <c r="D93" s="15">
        <f>SetEnemy!F98</f>
        <v>0</v>
      </c>
      <c r="E93" s="15">
        <f>SetEnemy!G98</f>
        <v>0</v>
      </c>
      <c r="F93" s="15">
        <f>SetEnemy!H98</f>
        <v>0</v>
      </c>
      <c r="G93" s="15" t="str">
        <f>SetEnemy!J98</f>
        <v/>
      </c>
      <c r="H93" s="15">
        <f>SetEnemy!K98</f>
        <v>0</v>
      </c>
      <c r="I93" s="15" t="str">
        <f>SetEnemy!M98</f>
        <v/>
      </c>
      <c r="J93" s="15"/>
      <c r="K93" s="15"/>
      <c r="L93" s="15"/>
      <c r="M93" s="15"/>
      <c r="N93" s="15"/>
    </row>
    <row r="94" spans="1:14" x14ac:dyDescent="0.15">
      <c r="A94" s="16">
        <f>SetEnemy!B99</f>
        <v>0</v>
      </c>
      <c r="B94" s="16" t="str">
        <f>SetEnemy!D99</f>
        <v/>
      </c>
      <c r="C94" s="16">
        <f>SetEnemy!E99</f>
        <v>0</v>
      </c>
      <c r="D94" s="16">
        <f>SetEnemy!F99</f>
        <v>0</v>
      </c>
      <c r="E94" s="16">
        <f>SetEnemy!G99</f>
        <v>0</v>
      </c>
      <c r="F94" s="15">
        <f>SetEnemy!H99</f>
        <v>0</v>
      </c>
      <c r="G94" s="16" t="str">
        <f>SetEnemy!J99</f>
        <v/>
      </c>
      <c r="H94" s="16">
        <f>SetEnemy!K99</f>
        <v>0</v>
      </c>
      <c r="I94" s="16" t="str">
        <f>SetEnemy!M99</f>
        <v/>
      </c>
      <c r="J94" s="16"/>
      <c r="K94" s="16"/>
      <c r="L94" s="16"/>
      <c r="M94" s="16"/>
      <c r="N94" s="16"/>
    </row>
    <row r="95" spans="1:14" x14ac:dyDescent="0.15">
      <c r="A95" s="15">
        <f>SetEnemy!B100</f>
        <v>0</v>
      </c>
      <c r="B95" s="15" t="str">
        <f>SetEnemy!D100</f>
        <v/>
      </c>
      <c r="C95" s="15">
        <f>SetEnemy!E100</f>
        <v>0</v>
      </c>
      <c r="D95" s="15">
        <f>SetEnemy!F100</f>
        <v>0</v>
      </c>
      <c r="E95" s="15">
        <f>SetEnemy!G100</f>
        <v>0</v>
      </c>
      <c r="F95" s="15">
        <f>SetEnemy!H100</f>
        <v>0</v>
      </c>
      <c r="G95" s="15" t="str">
        <f>SetEnemy!J100</f>
        <v/>
      </c>
      <c r="H95" s="15">
        <f>SetEnemy!K100</f>
        <v>0</v>
      </c>
      <c r="I95" s="15" t="str">
        <f>SetEnemy!M100</f>
        <v/>
      </c>
      <c r="J95" s="15"/>
      <c r="K95" s="15"/>
      <c r="L95" s="15"/>
      <c r="M95" s="15"/>
      <c r="N95" s="15"/>
    </row>
    <row r="96" spans="1:14" x14ac:dyDescent="0.15">
      <c r="A96" s="16">
        <f>SetEnemy!B101</f>
        <v>0</v>
      </c>
      <c r="B96" s="16" t="str">
        <f>SetEnemy!D101</f>
        <v/>
      </c>
      <c r="C96" s="16">
        <f>SetEnemy!E101</f>
        <v>0</v>
      </c>
      <c r="D96" s="16">
        <f>SetEnemy!F101</f>
        <v>0</v>
      </c>
      <c r="E96" s="16">
        <f>SetEnemy!G101</f>
        <v>0</v>
      </c>
      <c r="F96" s="15">
        <f>SetEnemy!H101</f>
        <v>0</v>
      </c>
      <c r="G96" s="16" t="str">
        <f>SetEnemy!J101</f>
        <v/>
      </c>
      <c r="H96" s="16">
        <f>SetEnemy!K101</f>
        <v>0</v>
      </c>
      <c r="I96" s="16" t="str">
        <f>SetEnemy!M101</f>
        <v/>
      </c>
      <c r="J96" s="16"/>
      <c r="K96" s="16"/>
      <c r="L96" s="16"/>
      <c r="M96" s="16"/>
      <c r="N96" s="16"/>
    </row>
    <row r="97" spans="1:14" x14ac:dyDescent="0.15">
      <c r="A97" s="15">
        <f>SetEnemy!B102</f>
        <v>0</v>
      </c>
      <c r="B97" s="15" t="str">
        <f>SetEnemy!D102</f>
        <v/>
      </c>
      <c r="C97" s="15">
        <f>SetEnemy!E102</f>
        <v>0</v>
      </c>
      <c r="D97" s="15">
        <f>SetEnemy!F102</f>
        <v>0</v>
      </c>
      <c r="E97" s="15">
        <f>SetEnemy!G102</f>
        <v>0</v>
      </c>
      <c r="F97" s="15">
        <f>SetEnemy!H102</f>
        <v>0</v>
      </c>
      <c r="G97" s="15" t="str">
        <f>SetEnemy!J102</f>
        <v/>
      </c>
      <c r="H97" s="15">
        <f>SetEnemy!K102</f>
        <v>0</v>
      </c>
      <c r="I97" s="15" t="str">
        <f>SetEnemy!M102</f>
        <v/>
      </c>
      <c r="J97" s="15"/>
      <c r="K97" s="15"/>
      <c r="L97" s="15"/>
      <c r="M97" s="15"/>
      <c r="N97" s="15"/>
    </row>
    <row r="98" spans="1:14" x14ac:dyDescent="0.15">
      <c r="A98" s="16">
        <f>SetEnemy!B103</f>
        <v>0</v>
      </c>
      <c r="B98" s="16" t="str">
        <f>SetEnemy!D103</f>
        <v/>
      </c>
      <c r="C98" s="16">
        <f>SetEnemy!E103</f>
        <v>0</v>
      </c>
      <c r="D98" s="16">
        <f>SetEnemy!F103</f>
        <v>0</v>
      </c>
      <c r="E98" s="16">
        <f>SetEnemy!G103</f>
        <v>0</v>
      </c>
      <c r="F98" s="15">
        <f>SetEnemy!H103</f>
        <v>0</v>
      </c>
      <c r="G98" s="16" t="str">
        <f>SetEnemy!J103</f>
        <v/>
      </c>
      <c r="H98" s="16">
        <f>SetEnemy!K103</f>
        <v>0</v>
      </c>
      <c r="I98" s="16" t="str">
        <f>SetEnemy!M103</f>
        <v/>
      </c>
      <c r="J98" s="16"/>
      <c r="K98" s="16"/>
      <c r="L98" s="16"/>
      <c r="M98" s="16"/>
      <c r="N98" s="16"/>
    </row>
    <row r="99" spans="1:14" x14ac:dyDescent="0.15">
      <c r="A99" s="15">
        <f>SetEnemy!B104</f>
        <v>0</v>
      </c>
      <c r="B99" s="15" t="str">
        <f>SetEnemy!D104</f>
        <v/>
      </c>
      <c r="C99" s="15">
        <f>SetEnemy!E104</f>
        <v>0</v>
      </c>
      <c r="D99" s="15">
        <f>SetEnemy!F104</f>
        <v>0</v>
      </c>
      <c r="E99" s="15">
        <f>SetEnemy!G104</f>
        <v>0</v>
      </c>
      <c r="F99" s="15">
        <f>SetEnemy!H104</f>
        <v>0</v>
      </c>
      <c r="G99" s="15" t="str">
        <f>SetEnemy!J104</f>
        <v/>
      </c>
      <c r="H99" s="15">
        <f>SetEnemy!K104</f>
        <v>0</v>
      </c>
      <c r="I99" s="15" t="str">
        <f>SetEnemy!M104</f>
        <v/>
      </c>
      <c r="J99" s="15"/>
      <c r="K99" s="15"/>
      <c r="L99" s="15"/>
      <c r="M99" s="15"/>
      <c r="N99" s="15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SetEnemy</vt:lpstr>
      <vt:lpstr>enum</vt:lpstr>
      <vt:lpstr>SetEnemyCSV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Hitomi</dc:creator>
  <cp:lastModifiedBy>ひとみちゃん</cp:lastModifiedBy>
  <dcterms:created xsi:type="dcterms:W3CDTF">2017-12-20T06:27:06Z</dcterms:created>
  <dcterms:modified xsi:type="dcterms:W3CDTF">2019-01-18T11:28:19Z</dcterms:modified>
</cp:coreProperties>
</file>